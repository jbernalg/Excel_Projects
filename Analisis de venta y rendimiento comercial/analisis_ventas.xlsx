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87D41BAC-F6C4-4C1F-80BB-B9AE119DFAEE}" xr6:coauthVersionLast="47" xr6:coauthVersionMax="47" xr10:uidLastSave="{00000000-0000-0000-0000-000000000000}"/>
  <bookViews>
    <workbookView xWindow="-120" yWindow="-120" windowWidth="20730" windowHeight="11160" activeTab="1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</sheets>
  <definedNames>
    <definedName name="_xlnm._FilterDatabase" localSheetId="0" hidden="1">Datos_Crudos!$A$1:$I$1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2" i="2"/>
  <c r="L3" i="2"/>
  <c r="L4" i="2"/>
  <c r="L5" i="2"/>
  <c r="L6" i="2"/>
  <c r="L2" i="2"/>
  <c r="I3" i="2"/>
  <c r="I4" i="2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</calcChain>
</file>

<file path=xl/sharedStrings.xml><?xml version="1.0" encoding="utf-8"?>
<sst xmlns="http://schemas.openxmlformats.org/spreadsheetml/2006/main" count="87" uniqueCount="35">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</sst>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0" dataDxfId="1">
  <autoFilter ref="A1:C5" xr:uid="{A92B6507-4B6A-4B49-B413-87F7A39C07E3}"/>
  <tableColumns count="3">
    <tableColumn id="1" xr3:uid="{C55A325D-7BD6-49AC-B11E-EDF0A27B1C16}" name="Producto" dataDxfId="4"/>
    <tableColumn id="2" xr3:uid="{A0FFE583-A718-487D-81FE-9C07633F39F7}" name="Categoría" dataDxfId="3"/>
    <tableColumn id="3" xr3:uid="{9177BD52-4EA4-494A-BEA0-D32F3FBB1A94}" name="Precio_Unitario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M6"/>
  <sheetViews>
    <sheetView tabSelected="1" workbookViewId="0">
      <selection activeCell="J14" sqref="J14"/>
    </sheetView>
  </sheetViews>
  <sheetFormatPr baseColWidth="10" defaultRowHeight="15" x14ac:dyDescent="0.25"/>
  <cols>
    <col min="3" max="3" width="17.7109375" customWidth="1"/>
    <col min="5" max="5" width="14.7109375" customWidth="1"/>
    <col min="10" max="10" width="17" customWidth="1"/>
    <col min="11" max="11" width="12.42578125" customWidth="1"/>
  </cols>
  <sheetData>
    <row r="1" spans="1:13" ht="30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</row>
    <row r="2" spans="1:13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11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</row>
    <row r="3" spans="1:13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  <c r="L3" t="str">
        <f t="shared" ref="L3:L6" si="0">IF(K3&gt;3000,"Alta",IF(K3&gt;1000,"Media","Baja"))</f>
        <v>Alta</v>
      </c>
      <c r="M3">
        <f>K3*INDEX(tbl_Comisiones[PCT_comision],MATCH(I3,tbl_Comisiones[Categoria],0))</f>
        <v>450</v>
      </c>
    </row>
    <row r="4" spans="1:13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31</v>
      </c>
      <c r="I4" t="str">
        <f>INDEX(tbl_Productos[Categoría],MATCH(H4,tbl_Productos[Producto],0))</f>
        <v>Muebles</v>
      </c>
      <c r="J4" s="2">
        <f>VLOOKUP(H4,tbl_Productos[],3,)</f>
        <v>900</v>
      </c>
      <c r="K4">
        <f>G4*J4</f>
        <v>21600</v>
      </c>
      <c r="L4" t="str">
        <f t="shared" si="0"/>
        <v>Alta</v>
      </c>
      <c r="M4">
        <f>K4*INDEX(tbl_Comisiones[PCT_comision],MATCH(I4,tbl_Comisiones[Categoria],0))</f>
        <v>1944</v>
      </c>
    </row>
    <row r="5" spans="1:13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14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  <c r="L5" t="str">
        <f t="shared" si="0"/>
        <v>Alta</v>
      </c>
      <c r="M5">
        <f>K5*INDEX(tbl_Comisiones[PCT_comision],MATCH(I5,tbl_Comisiones[Categoria],0))</f>
        <v>648</v>
      </c>
    </row>
    <row r="6" spans="1:13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  <c r="L6" t="str">
        <f t="shared" si="0"/>
        <v>Alta</v>
      </c>
      <c r="M6">
        <f>K6*INDEX(tbl_Comisiones[PCT_comision],MATCH(I6,tbl_Comisiones[Categoria],0))</f>
        <v>432</v>
      </c>
    </row>
  </sheetData>
  <dataValidations count="1">
    <dataValidation type="whole" allowBlank="1" showInputMessage="1" showErrorMessage="1" sqref="G2:G6" xr:uid="{56A338E2-FAA5-4BDE-8A62-271F32D614C1}">
      <formula1>1</formula1>
      <formula2>1000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66A43A-292A-423D-A39B-46379CB8812C}">
          <x14:formula1>
            <xm:f>Productos!$A$2:$A$5</xm:f>
          </x14:formula1>
          <xm:sqref>H2:H6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ht="30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Datos_Crudos</vt:lpstr>
      <vt:lpstr>Datos_Limpios</vt:lpstr>
      <vt:lpstr>Productos</vt:lpstr>
      <vt:lpstr>Reglas_Comision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2026-02-07T19:10:54Z</dcterms:modified>
</cp:coreProperties>
</file>