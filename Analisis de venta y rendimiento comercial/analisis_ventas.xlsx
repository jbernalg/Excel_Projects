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8165036C-84B5-4A09-90F4-14E0B72B4485}" xr6:coauthVersionLast="47" xr6:coauthVersionMax="47" xr10:uidLastSave="{00000000-0000-0000-0000-000000000000}"/>
  <bookViews>
    <workbookView xWindow="-120" yWindow="-120" windowWidth="20730" windowHeight="11160" firstSheet="4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1">#N/A</definedName>
    <definedName name="SegmentaciónDeDatos_Categoria">#N/A</definedName>
    <definedName name="SegmentaciónDeDatos_Ciudad_Cliente">#N/A</definedName>
    <definedName name="SegmentaciónDeDatos_Vendedor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9" l="1"/>
  <c r="B8" i="9"/>
  <c r="B5" i="9"/>
  <c r="C8" i="9" s="1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<sst xmlns="http://schemas.openxmlformats.org/spreadsheetml/2006/main" count="167" uniqueCount="64">
  <si>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</si>
  <si>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</si>
  <si>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</si>
  <si>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</si>
  <si>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</si>
  <si>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</si>
  <si>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</si>
  <si>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</si>
  <si>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</si>
  <si>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</si>
  <si>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</si>
  <si>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</si>
  <si>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</si>
  <si>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</si>
  <si>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</si>
  <si>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</si>
  <si>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</si>
  <si>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</si>
  <si>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</si>
  <si>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</si>
  <si>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</si>
  <si>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</si>
  <si>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</si>
  <si>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</si>
  <si>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</si>
  <si>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</si>
  <si>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</si>
  <si>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</si>
  <si>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</si>
  <si>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</si>
  <si>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</si>
  <si>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</si>
  <si>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</si>
  <si>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</si>
  <si>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</si>
  <si>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</si>
  <si>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</si>
  <si>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</si>
  <si>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</si>
  <si>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</si>
  <si>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</si>
  <si>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</si>
  <si>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</si>
  <si>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</si>
  <si>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</si>
  <si>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</si>
  <si>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</si>
  <si>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</si>
  <si>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</si>
  <si>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</si>
  <si>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</si>
  <si>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</si>
  <si>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</si>
  <si>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</si>
  <si>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</si>
  <si>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</si>
  <si>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</si>
  <si>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</si>
  <si>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</si>
  <si>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</si>
  <si>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</si>
  <si>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% Cumplimiento Meta</t>
  </si>
  <si>
    <t>Total_de_Ventas</t>
  </si>
  <si>
    <t>Margen_Ganancia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</si>
</sst>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&quot;$&quot;\ #,##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164" fontId="3" fillId="0" borderId="0" xfId="0" applyNumberFormat="1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9" fontId="3" fillId="0" borderId="0" xfId="0" applyNumberFormat="1" applyFont="1" applyFill="1" applyAlignment="1">
      <alignment horizontal="left" vertical="center" wrapText="1"/>
    </xf>
    <xf numFmtId="165" fontId="3" fillId="0" borderId="0" xfId="0" applyNumberFormat="1" applyFont="1" applyFill="1" applyAlignment="1">
      <alignment horizontal="left" vertical="center" wrapText="1"/>
    </xf>
    <xf numFmtId="0" fontId="4" fillId="2" borderId="0" xfId="0" applyFont="1" applyFill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Tablas_Dinamicas!$B$6:$B$8</c:f>
              <c:numCache>
                <c:formatCode>General</c:formatCode>
                <c:ptCount val="2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Tablas_Dinamicas!$C$6:$C$8</c:f>
              <c:numCache>
                <c:formatCode>General</c:formatCode>
                <c:ptCount val="2"/>
                <c:pt idx="0">
                  <c:v>1440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Online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Tablas_Dinamicas!$D$6:$D$8</c:f>
              <c:numCache>
                <c:formatCode>General</c:formatCode>
                <c:ptCount val="2"/>
                <c:pt idx="0">
                  <c:v>4800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8CE-49B5-8EE4-9AE62E748FFA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Online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Tablas_Dinamicas!$E$6:$E$8</c:f>
              <c:numCache>
                <c:formatCode>General</c:formatCode>
                <c:ptCount val="2"/>
                <c:pt idx="0">
                  <c:v>960</c:v>
                </c:pt>
                <c:pt idx="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8CE-49B5-8EE4-9AE62E748FFA}"/>
            </c:ext>
          </c:extLst>
        </c:ser>
        <c:ser>
          <c:idx val="4"/>
          <c:order val="4"/>
          <c:tx>
            <c:strRef>
              <c:f>Tablas_Dinamicas!$F$3:$F$5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Tablas_Dinamicas!$F$6:$F$8</c:f>
              <c:numCache>
                <c:formatCode>General</c:formatCode>
                <c:ptCount val="2"/>
                <c:pt idx="0">
                  <c:v>1800</c:v>
                </c:pt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8CE-49B5-8EE4-9AE62E748FFA}"/>
            </c:ext>
          </c:extLst>
        </c:ser>
        <c:ser>
          <c:idx val="5"/>
          <c:order val="5"/>
          <c:tx>
            <c:strRef>
              <c:f>Tablas_Dinamicas!$G$3:$G$5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Tablas_Dinamicas!$G$6:$G$8</c:f>
              <c:numCache>
                <c:formatCode>General</c:formatCode>
                <c:ptCount val="2"/>
                <c:pt idx="0">
                  <c:v>360</c:v>
                </c:pt>
                <c:pt idx="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8CE-49B5-8EE4-9AE62E748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240A]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6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747-4289-AB4E-2ED1F7C03E1B}"/>
              </c:ext>
            </c:extLst>
          </c:dPt>
          <c:dLbls>
            <c:numFmt formatCode="[$$-240A]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604547260376577"/>
          <c:y val="0.45094356955380571"/>
          <c:w val="0.31311503129416512"/>
          <c:h val="0.18750131233595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Ventas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0765916679421023E-3"/>
              <c:y val="-3.59351346641835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3.0765916679421023E-3"/>
                  <c:y val="-3.593513466418357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371475</xdr:colOff>
      <xdr:row>47</xdr:row>
      <xdr:rowOff>152400</xdr:rowOff>
    </xdr:from>
    <xdr:to>
      <xdr:col>5</xdr:col>
      <xdr:colOff>1143000</xdr:colOff>
      <xdr:row>54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anal 1">
              <a:extLst>
                <a:ext uri="{FF2B5EF4-FFF2-40B4-BE49-F238E27FC236}">
                  <a16:creationId xmlns:a16="http://schemas.microsoft.com/office/drawing/2014/main" id="{B225C605-7044-4C9E-9B25-14A502477A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8300" y="91059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40</xdr:row>
      <xdr:rowOff>180976</xdr:rowOff>
    </xdr:from>
    <xdr:to>
      <xdr:col>5</xdr:col>
      <xdr:colOff>1152525</xdr:colOff>
      <xdr:row>47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Vendedor">
              <a:extLst>
                <a:ext uri="{FF2B5EF4-FFF2-40B4-BE49-F238E27FC236}">
                  <a16:creationId xmlns:a16="http://schemas.microsoft.com/office/drawing/2014/main" id="{17032B73-C4B4-8344-5858-08046C3E4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7800976"/>
              <a:ext cx="18288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361950</xdr:colOff>
      <xdr:row>35</xdr:row>
      <xdr:rowOff>28575</xdr:rowOff>
    </xdr:from>
    <xdr:to>
      <xdr:col>5</xdr:col>
      <xdr:colOff>1133475</xdr:colOff>
      <xdr:row>40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Categoria">
              <a:extLst>
                <a:ext uri="{FF2B5EF4-FFF2-40B4-BE49-F238E27FC236}">
                  <a16:creationId xmlns:a16="http://schemas.microsoft.com/office/drawing/2014/main" id="{0A6D243B-6EF4-C35B-956E-903E41B345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38775" y="6696075"/>
              <a:ext cx="1828800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54</xdr:row>
      <xdr:rowOff>180975</xdr:rowOff>
    </xdr:from>
    <xdr:to>
      <xdr:col>5</xdr:col>
      <xdr:colOff>1152525</xdr:colOff>
      <xdr:row>61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Ciudad_Cliente">
              <a:extLst>
                <a:ext uri="{FF2B5EF4-FFF2-40B4-BE49-F238E27FC236}">
                  <a16:creationId xmlns:a16="http://schemas.microsoft.com/office/drawing/2014/main" id="{E226C5D2-CCB7-96B3-F4FB-06C0C7B7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10467975"/>
              <a:ext cx="18288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66675</xdr:colOff>
      <xdr:row>9</xdr:row>
      <xdr:rowOff>114301</xdr:rowOff>
    </xdr:from>
    <xdr:to>
      <xdr:col>4</xdr:col>
      <xdr:colOff>400050</xdr:colOff>
      <xdr:row>21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547688</xdr:colOff>
      <xdr:row>9</xdr:row>
      <xdr:rowOff>114300</xdr:rowOff>
    </xdr:from>
    <xdr:to>
      <xdr:col>9</xdr:col>
      <xdr:colOff>576263</xdr:colOff>
      <xdr:row>21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723900</xdr:colOff>
      <xdr:row>9</xdr:row>
      <xdr:rowOff>114300</xdr:rowOff>
    </xdr:from>
    <xdr:to>
      <xdr:col>13</xdr:col>
      <xdr:colOff>1438275</xdr:colOff>
      <xdr:row>21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9525</xdr:colOff>
      <xdr:row>2</xdr:row>
      <xdr:rowOff>180975</xdr:rowOff>
    </xdr:from>
    <xdr:to>
      <xdr:col>5</xdr:col>
      <xdr:colOff>666750</xdr:colOff>
      <xdr:row>7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 1">
              <a:extLst>
                <a:ext uri="{FF2B5EF4-FFF2-40B4-BE49-F238E27FC236}">
                  <a16:creationId xmlns:a16="http://schemas.microsoft.com/office/drawing/2014/main" id="{296AAC00-BE8F-4451-BD8F-A022F9318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638175"/>
              <a:ext cx="1419225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28576</xdr:colOff>
      <xdr:row>3</xdr:row>
      <xdr:rowOff>0</xdr:rowOff>
    </xdr:from>
    <xdr:to>
      <xdr:col>7</xdr:col>
      <xdr:colOff>600076</xdr:colOff>
      <xdr:row>8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Vendedor 1">
              <a:extLst>
                <a:ext uri="{FF2B5EF4-FFF2-40B4-BE49-F238E27FC236}">
                  <a16:creationId xmlns:a16="http://schemas.microsoft.com/office/drawing/2014/main" id="{5FBCFC5D-3F83-45A0-9244-B0FB8B1805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53151" y="647700"/>
              <a:ext cx="13335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9525</xdr:colOff>
      <xdr:row>3</xdr:row>
      <xdr:rowOff>1</xdr:rowOff>
    </xdr:from>
    <xdr:to>
      <xdr:col>9</xdr:col>
      <xdr:colOff>666750</xdr:colOff>
      <xdr:row>8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34DF194B-712B-47BC-92B9-FC437C6F6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58100" y="647701"/>
              <a:ext cx="1419225" cy="1190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57150</xdr:colOff>
      <xdr:row>3</xdr:row>
      <xdr:rowOff>0</xdr:rowOff>
    </xdr:from>
    <xdr:to>
      <xdr:col>11</xdr:col>
      <xdr:colOff>733425</xdr:colOff>
      <xdr:row>8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Ciudad_Cliente 1">
              <a:extLst>
                <a:ext uri="{FF2B5EF4-FFF2-40B4-BE49-F238E27FC236}">
                  <a16:creationId xmlns:a16="http://schemas.microsoft.com/office/drawing/2014/main" id="{F3BBEDB3-4F02-4238-B296-06E4987459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29725" y="647700"/>
              <a:ext cx="1438275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409575</xdr:colOff>
      <xdr:row>0</xdr:row>
      <xdr:rowOff>142875</xdr:rowOff>
    </xdr:from>
    <xdr:to>
      <xdr:col>9</xdr:col>
      <xdr:colOff>342900</xdr:colOff>
      <xdr:row>2</xdr:row>
      <xdr:rowOff>28575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A6BE4CFB-DF05-889A-FB51-46A48E1A1FE2}"/>
            </a:ext>
          </a:extLst>
        </xdr:cNvPr>
        <xdr:cNvSpPr txBox="1"/>
      </xdr:nvSpPr>
      <xdr:spPr>
        <a:xfrm>
          <a:off x="5010150" y="142875"/>
          <a:ext cx="3743325" cy="342900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>
              <a:solidFill>
                <a:schemeClr val="bg1"/>
              </a:solidFill>
            </a:rPr>
            <a:t>ANÁLISIS DE VENTAS 2024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0.36709</cdr:x>
      <cdr:y>0.45228</cdr:y>
    </cdr:from>
    <cdr:to>
      <cdr:x>0.65823</cdr:x>
      <cdr:y>0.6639</cdr:y>
    </cdr:to>
    <cdr:sp macro="" textlink="Dashboard!$B$5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8F5193B5-F250-7534-992D-46F009A0EB90}"/>
            </a:ext>
          </a:extLst>
        </cdr:cNvPr>
        <cdr:cNvSpPr txBox="1"/>
      </cdr:nvSpPr>
      <cdr:spPr>
        <a:xfrm xmlns:a="http://schemas.openxmlformats.org/drawingml/2006/main">
          <a:off x="1381125" y="1038225"/>
          <a:ext cx="1095375" cy="4857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9E48C580-1B36-4694-B3A2-B80F96CA39B9}" type="TxLink">
            <a:rPr lang="en-US" sz="1400" b="0" i="0" u="none" strike="noStrike" kern="1200">
              <a:solidFill>
                <a:srgbClr val="000000"/>
              </a:solidFill>
              <a:latin typeface="Calibri"/>
              <a:cs typeface="Calibri"/>
            </a:rPr>
            <a:t>$ 88,800</a:t>
          </a:fld>
          <a:endParaRPr lang="en-US" sz="1100" b="1" i="0" u="none" strike="noStrike" kern="1200">
            <a:solidFill>
              <a:srgbClr val="000000"/>
            </a:solidFill>
            <a:latin typeface="Calibri"/>
            <a:cs typeface="Calibri"/>
          </a:endParaRPr>
        </a:p>
        <a:p xmlns:a="http://schemas.openxmlformats.org/drawingml/2006/main">
          <a:r>
            <a:rPr lang="en-US" sz="1100" b="1" i="0" u="none" strike="noStrike" kern="1200">
              <a:solidFill>
                <a:srgbClr val="000000"/>
              </a:solidFill>
              <a:latin typeface="Calibri"/>
              <a:cs typeface="Calibri"/>
            </a:rPr>
            <a:t>Ventas Totales</a:t>
          </a:r>
          <a:endParaRPr lang="es-CO" sz="1000" b="1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_de_Ventas" fld="9" baseField="2" baseItem="1"/>
    <dataField name="Margen_Ganancia" fld="14" baseField="2" baseItem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28:B31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I8" firstHeaderRow="1" firstDataRow="3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6428AF16-56FC-47F6-8679-261566D1759D}" sourceName="Canal">
  <pivotTables>
    <pivotTable tabId="8" name="TablaDinámica4"/>
    <pivotTable tabId="8" name="TablaDinámica1"/>
    <pivotTable tabId="8" name="TablaDinámica2"/>
    <pivotTable tabId="8" name="TablaDinámica3"/>
  </pivotTables>
  <data>
    <tabular pivotCacheId="195089723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F6E10E0-1602-4482-8F8B-BDE40C5B7C35}" sourceName="Vendedor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546E5AE-7991-45F3-A890-1A50B79B4556}" sourceName="Categoria">
  <pivotTables>
    <pivotTable tabId="8" name="TablaDinámica2"/>
    <pivotTable tabId="8" name="TablaDinámica1"/>
    <pivotTable tabId="8" name="TablaDinámica3"/>
    <pivotTable tabId="8" name="TablaDinámica4"/>
  </pivotTables>
  <data>
    <tabular pivotCacheId="195089723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D6E9CD0B-B8D7-4122-B307-4B1FD792A75C}" sourceName="Ciudad_Cliente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1B94EE67-207A-48ED-B233-03BB10B431B6}" cache="SegmentaciónDeDatos_Canal1" caption="Canal" rowHeight="241300"/>
  <slicer name="Vendedor" xr10:uid="{7FDFF949-029F-46E1-8826-BE1472EC294B}" cache="SegmentaciónDeDatos_Vendedor" caption="Vendedor" rowHeight="241300"/>
  <slicer name="Categoria" xr10:uid="{8AE9F281-67D4-490E-B273-190C976E46A3}" cache="SegmentaciónDeDatos_Categoria" caption="Categoria" rowHeight="241300"/>
  <slicer name="Ciudad_Cliente" xr10:uid="{21E693D7-C638-4413-AA45-1729F6E0D302}" cache="SegmentaciónDeDatos_Ciudad_Cliente" caption="Ciudad_Cliente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66948C24-1FD8-44FD-8646-6DF55DC92FF8}" cache="SegmentaciónDeDatos_Canal1" caption="Canal" style="SlicerStyleLight3" rowHeight="241300"/>
  <slicer name="Vendedor 1" xr10:uid="{DD2D11A1-A034-4308-8F51-148FE0E2D644}" cache="SegmentaciónDeDatos_Vendedor" caption="Vendedor" style="SlicerStyleLight3" rowHeight="241300"/>
  <slicer name="Categoria 1" xr10:uid="{5A88A70B-DF1A-4EFF-81DE-E7C930A6484A}" cache="SegmentaciónDeDatos_Categoria" caption="Categoria" style="SlicerStyleLight3" rowHeight="241300"/>
  <slicer name="Ciudad_Cliente 1" xr10:uid="{DFD84570-663B-4585-8462-B8623B5639A4}" cache="SegmentaciónDeDatos_Ciudad_Cliente" caption="Ciudad_Cliente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 t="shared" ref="K2:K7" si="0"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 t="shared" si="0"/>
        <v>7500</v>
      </c>
      <c r="L3" t="str">
        <f t="shared" ref="L3:L6" si="1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 t="shared" si="0"/>
        <v>60000</v>
      </c>
      <c r="L4" t="str">
        <f t="shared" si="1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 t="shared" si="0"/>
        <v>7200</v>
      </c>
      <c r="L5" t="str">
        <f t="shared" si="1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 t="shared" si="0"/>
        <v>4800</v>
      </c>
      <c r="L6" t="str">
        <f t="shared" si="1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 t="shared" si="0"/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I74"/>
  <sheetViews>
    <sheetView topLeftCell="A45" workbookViewId="0">
      <selection activeCell="C48" sqref="C48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7.140625" bestFit="1" customWidth="1"/>
    <col min="4" max="4" width="20.7109375" bestFit="1" customWidth="1"/>
    <col min="5" max="5" width="15.85546875" bestFit="1" customWidth="1"/>
    <col min="6" max="6" width="20.7109375" bestFit="1" customWidth="1"/>
    <col min="7" max="7" width="15.85546875" bestFit="1" customWidth="1"/>
    <col min="8" max="8" width="25.7109375" bestFit="1" customWidth="1"/>
    <col min="9" max="9" width="20.85546875" bestFit="1" customWidth="1"/>
  </cols>
  <sheetData>
    <row r="3" spans="1:9" x14ac:dyDescent="0.25">
      <c r="B3" s="6" t="s">
        <v>55</v>
      </c>
    </row>
    <row r="4" spans="1:9" x14ac:dyDescent="0.25">
      <c r="B4" t="s">
        <v>41</v>
      </c>
      <c r="D4" t="s">
        <v>11</v>
      </c>
      <c r="F4" t="s">
        <v>14</v>
      </c>
      <c r="H4" t="s">
        <v>57</v>
      </c>
      <c r="I4" t="s">
        <v>58</v>
      </c>
    </row>
    <row r="5" spans="1:9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  <c r="F5" t="s">
        <v>56</v>
      </c>
      <c r="G5" t="s">
        <v>59</v>
      </c>
    </row>
    <row r="6" spans="1:9" x14ac:dyDescent="0.25">
      <c r="A6" s="7" t="s">
        <v>15</v>
      </c>
      <c r="B6" s="9">
        <v>7200</v>
      </c>
      <c r="C6" s="9">
        <v>1440</v>
      </c>
      <c r="D6" s="9">
        <v>4800</v>
      </c>
      <c r="E6" s="9">
        <v>960</v>
      </c>
      <c r="F6" s="9">
        <v>1800</v>
      </c>
      <c r="G6" s="9">
        <v>360</v>
      </c>
      <c r="H6" s="9">
        <v>13800</v>
      </c>
      <c r="I6" s="9">
        <v>2760</v>
      </c>
    </row>
    <row r="7" spans="1:9" x14ac:dyDescent="0.25">
      <c r="A7" s="7" t="s">
        <v>8</v>
      </c>
      <c r="B7" s="9"/>
      <c r="C7" s="9">
        <v>0</v>
      </c>
      <c r="D7" s="9">
        <v>60000</v>
      </c>
      <c r="E7" s="9">
        <v>12000</v>
      </c>
      <c r="F7" s="9">
        <v>15000</v>
      </c>
      <c r="G7" s="9">
        <v>3000</v>
      </c>
      <c r="H7" s="9">
        <v>75000</v>
      </c>
      <c r="I7" s="9">
        <v>15000</v>
      </c>
    </row>
    <row r="8" spans="1:9" x14ac:dyDescent="0.25">
      <c r="A8" s="7" t="s">
        <v>54</v>
      </c>
      <c r="B8" s="9">
        <v>7200</v>
      </c>
      <c r="C8" s="9">
        <v>1440</v>
      </c>
      <c r="D8" s="9">
        <v>64800</v>
      </c>
      <c r="E8" s="9">
        <v>12960</v>
      </c>
      <c r="F8" s="9">
        <v>16800</v>
      </c>
      <c r="G8" s="9">
        <v>3360</v>
      </c>
      <c r="H8" s="9">
        <v>88800</v>
      </c>
      <c r="I8" s="9">
        <v>17760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9">
        <v>13800</v>
      </c>
    </row>
    <row r="30" spans="1:2" x14ac:dyDescent="0.25">
      <c r="A30" s="7" t="s">
        <v>8</v>
      </c>
      <c r="B30" s="9">
        <v>75000</v>
      </c>
    </row>
    <row r="31" spans="1:2" x14ac:dyDescent="0.25">
      <c r="A31" s="7" t="s">
        <v>54</v>
      </c>
      <c r="B31" s="9">
        <v>88800</v>
      </c>
    </row>
    <row r="48" spans="1:3" x14ac:dyDescent="0.25">
      <c r="A48" s="6" t="s">
        <v>53</v>
      </c>
      <c r="B48" t="s">
        <v>62</v>
      </c>
      <c r="C48" t="s">
        <v>63</v>
      </c>
    </row>
    <row r="49" spans="1:3" x14ac:dyDescent="0.25">
      <c r="A49" s="7" t="s">
        <v>9</v>
      </c>
      <c r="B49" s="9">
        <v>66600</v>
      </c>
      <c r="C49" s="9">
        <v>13320</v>
      </c>
    </row>
    <row r="50" spans="1:3" x14ac:dyDescent="0.25">
      <c r="A50" s="7" t="s">
        <v>12</v>
      </c>
      <c r="B50" s="9">
        <v>15000</v>
      </c>
      <c r="C50" s="9">
        <v>3000</v>
      </c>
    </row>
    <row r="51" spans="1:3" x14ac:dyDescent="0.25">
      <c r="A51" s="7" t="s">
        <v>16</v>
      </c>
      <c r="B51" s="9">
        <v>7200</v>
      </c>
      <c r="C51" s="9">
        <v>1440</v>
      </c>
    </row>
    <row r="52" spans="1:3" x14ac:dyDescent="0.25">
      <c r="A52" s="7" t="s">
        <v>54</v>
      </c>
      <c r="B52" s="9">
        <v>88800</v>
      </c>
      <c r="C52" s="9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8">
        <v>0.72972972972972971</v>
      </c>
    </row>
    <row r="72" spans="1:2" x14ac:dyDescent="0.25">
      <c r="A72" s="7" t="s">
        <v>14</v>
      </c>
      <c r="B72" s="8">
        <v>0.1891891891891892</v>
      </c>
    </row>
    <row r="73" spans="1:2" x14ac:dyDescent="0.25">
      <c r="A73" s="7" t="s">
        <v>41</v>
      </c>
      <c r="B73" s="8">
        <v>8.1081081081081086E-2</v>
      </c>
    </row>
    <row r="74" spans="1:2" x14ac:dyDescent="0.25">
      <c r="A74" s="7" t="s">
        <v>54</v>
      </c>
      <c r="B74" s="8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1:O8"/>
  <sheetViews>
    <sheetView showGridLines="0" showRowColHeaders="0" tabSelected="1" topLeftCell="B1" zoomScaleNormal="100" workbookViewId="0">
      <selection activeCell="M4" sqref="M4"/>
    </sheetView>
  </sheetViews>
  <sheetFormatPr baseColWidth="10" defaultRowHeight="15" x14ac:dyDescent="0.25"/>
  <cols>
    <col min="2" max="2" width="21.42578125" customWidth="1"/>
    <col min="3" max="3" width="24.7109375" customWidth="1"/>
    <col min="7" max="7" width="11.42578125" customWidth="1"/>
    <col min="14" max="14" width="23" customWidth="1"/>
    <col min="15" max="15" width="12.5703125" customWidth="1"/>
  </cols>
  <sheetData>
    <row r="1" spans="2:15" ht="21" x14ac:dyDescent="0.35">
      <c r="F1" s="18"/>
      <c r="G1" s="18"/>
    </row>
    <row r="4" spans="2:15" ht="17.25" customHeight="1" x14ac:dyDescent="0.25">
      <c r="B4" s="12" t="s">
        <v>44</v>
      </c>
      <c r="C4" s="12" t="s">
        <v>47</v>
      </c>
      <c r="N4" s="10"/>
      <c r="O4" s="11"/>
    </row>
    <row r="5" spans="2:15" ht="17.25" customHeight="1" x14ac:dyDescent="0.25">
      <c r="B5" s="17">
        <f>Analisis!B2</f>
        <v>88800</v>
      </c>
      <c r="C5" s="14">
        <f>AVERAGE(tbl_Ventas[Total_Ventas])</f>
        <v>14800</v>
      </c>
      <c r="N5" s="10"/>
      <c r="O5" s="11"/>
    </row>
    <row r="6" spans="2:15" ht="16.5" customHeight="1" x14ac:dyDescent="0.25">
      <c r="B6" s="10"/>
      <c r="C6" s="11"/>
      <c r="N6" s="10"/>
      <c r="O6" s="11"/>
    </row>
    <row r="7" spans="2:15" ht="15.75" customHeight="1" x14ac:dyDescent="0.25">
      <c r="B7" s="15" t="s">
        <v>45</v>
      </c>
      <c r="C7" s="12" t="s">
        <v>61</v>
      </c>
    </row>
    <row r="8" spans="2:15" ht="15.75" customHeight="1" x14ac:dyDescent="0.25">
      <c r="B8" s="13">
        <f>SUM(tbl_Ventas[Comision])</f>
        <v>5742</v>
      </c>
      <c r="C8" s="16">
        <f>B5/SUM(tbl_Ventas[Meta_Vendedor])</f>
        <v>1.1240506329113924</v>
      </c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2026-02-13T20:31:17Z</dcterms:modified>
</cp:coreProperties>
</file>