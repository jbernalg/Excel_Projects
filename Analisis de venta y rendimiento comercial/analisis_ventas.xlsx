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4200D8AA-98A7-43AB-BEDF-85780778D49B}" xr6:coauthVersionLast="47" xr6:coauthVersionMax="47" xr10:uidLastSave="{00000000-0000-0000-0000-000000000000}"/>
  <bookViews>
    <workbookView xWindow="-120" yWindow="-120" windowWidth="20730" windowHeight="11160" firstSheet="4" activeTab="7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  <sheet name="Dashboard" sheetId="9" r:id="rId8"/>
  </sheets>
  <definedNames>
    <definedName name="_xlnm._FilterDatabase" localSheetId="0" hidden="1">Datos_Crudos!$A$1:$I$1</definedName>
    <definedName name="SegmentaciónDeDatos_Canal">#N/A</definedName>
    <definedName name="SegmentaciónDeDatos_Categoria">#N/A</definedName>
    <definedName name="SegmentaciónDeDatos_Ciudad_Cliente">#N/A</definedName>
  </definedNames>
  <calcPr calcId="191029"/>
  <pivotCaches>
    <pivotCache cacheId="17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9" l="1"/>
  <c r="C5" i="9"/>
  <c r="C4" i="9"/>
  <c r="C3" i="9"/>
  <c r="I7" i="2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<sst xmlns="http://schemas.openxmlformats.org/spreadsheetml/2006/main" count="165" uniqueCount="63">
  <si>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</si>
  <si>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</si>
  <si>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</si>
  <si>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</si>
  <si>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</si>
  <si>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</si>
  <si>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</si>
  <si>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</si>
  <si>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</si>
  <si>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</si>
  <si>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</si>
  <si>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</si>
  <si>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</si>
  <si>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</si>
  <si>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</si>
  <si>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</si>
  <si>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</si>
  <si>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</si>
  <si>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</si>
  <si>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</si>
  <si>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</si>
  <si>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</si>
  <si>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</si>
  <si>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</si>
  <si>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</si>
  <si>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</si>
  <si>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</si>
  <si>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</si>
  <si>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</si>
  <si>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</si>
  <si>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</si>
  <si>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</si>
  <si>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</si>
  <si>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</si>
  <si>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</si>
  <si>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</si>
  <si>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</si>
  <si>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</si>
  <si>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</si>
  <si>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</si>
  <si>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</si>
  <si>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</si>
  <si>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</si>
  <si>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</si>
  <si>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</si>
  <si>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</si>
  <si>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</si>
  <si>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</si>
  <si>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</si>
  <si>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</si>
  <si>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</si>
  <si>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</si>
  <si>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</si>
  <si>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</si>
  <si>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</si>
  <si>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</si>
  <si>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</si>
  <si>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</si>
  <si>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</si>
  <si>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</si>
  <si>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</si>
  <si>
    <t>KPI</t>
  </si>
  <si>
    <t>% Cumplimiento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</si>
</sst>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10" fontId="0" fillId="0" borderId="0" xfId="0" applyNumberFormat="1"/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7F7F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Tablas_Dinamicas!$B$6:$B$7</c:f>
              <c:numCache>
                <c:formatCode>General</c:formatCode>
                <c:ptCount val="1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Tablas_Dinamicas!$C$6:$C$7</c:f>
              <c:numCache>
                <c:formatCode>General</c:formatCode>
                <c:ptCount val="1"/>
                <c:pt idx="0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Tablas_Dinamicas!$D$6:$D$7</c:f>
              <c:numCache>
                <c:formatCode>General</c:formatCode>
                <c:ptCount val="1"/>
                <c:pt idx="0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F61-4A71-BE75-232FC779DBC3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Tablas_Dinamicas!$E$6:$E$7</c:f>
              <c:numCache>
                <c:formatCode>General</c:formatCode>
                <c:ptCount val="1"/>
                <c:pt idx="0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F61-4A71-BE75-232FC779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A-43DA-BB44-D2B26D2B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Suma de Total_Ventas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E5-4F35-BD13-CB77EEBD32F9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Suma de Margen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E5-4F35-BD13-CB77EEBD3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1FF-430B-BA8D-796EB6EA15C8}"/>
              </c:ext>
            </c:extLst>
          </c:dPt>
          <c:dPt>
            <c:idx val="1"/>
            <c:bubble3D val="0"/>
            <c:spPr>
              <a:solidFill>
                <a:srgbClr val="7F7F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FF-430B-BA8D-796EB6EA15C8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FF-430B-BA8D-796EB6EA15C8}"/>
              </c:ext>
            </c:extLst>
          </c:dPt>
          <c:dLbls>
            <c:dLbl>
              <c:idx val="2"/>
              <c:layout>
                <c:manualLayout>
                  <c:x val="-5.5555555555555558E-3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FF-430B-BA8D-796EB6EA15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F-430B-BA8D-796EB6EA1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Totales por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76E-A926-B8EE702D4C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031773672521701"/>
          <c:y val="0.25294135364227011"/>
          <c:w val="0.46554159095497677"/>
          <c:h val="0.6705559141172927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Suma de Total_Ventas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4-49B7-89EE-9FB66BE3AE0D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Suma de Margen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4-49B7-89EE-9FB66BE3A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CD-48C2-883C-835E3098BCED}"/>
              </c:ext>
            </c:extLst>
          </c:dPt>
          <c:dPt>
            <c:idx val="1"/>
            <c:bubble3D val="0"/>
            <c:spPr>
              <a:solidFill>
                <a:srgbClr val="7F7F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CD-48C2-883C-835E3098BCED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7CD-48C2-883C-835E3098BCED}"/>
              </c:ext>
            </c:extLst>
          </c:dPt>
          <c:dLbls>
            <c:dLbl>
              <c:idx val="2"/>
              <c:layout>
                <c:manualLayout>
                  <c:x val="-5.5555555555555558E-3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CD-48C2-883C-835E3098BC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CD-48C2-883C-835E3098BC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400050</xdr:colOff>
      <xdr:row>8</xdr:row>
      <xdr:rowOff>171451</xdr:rowOff>
    </xdr:from>
    <xdr:to>
      <xdr:col>6</xdr:col>
      <xdr:colOff>514350</xdr:colOff>
      <xdr:row>14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iudad_Cliente">
              <a:extLst>
                <a:ext uri="{FF2B5EF4-FFF2-40B4-BE49-F238E27FC236}">
                  <a16:creationId xmlns:a16="http://schemas.microsoft.com/office/drawing/2014/main" id="{F0DC0437-48FF-11F7-174D-C3E2C2E84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8425" y="1695451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1000125</xdr:colOff>
      <xdr:row>8</xdr:row>
      <xdr:rowOff>171451</xdr:rowOff>
    </xdr:from>
    <xdr:to>
      <xdr:col>5</xdr:col>
      <xdr:colOff>390525</xdr:colOff>
      <xdr:row>14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Canal">
              <a:extLst>
                <a:ext uri="{FF2B5EF4-FFF2-40B4-BE49-F238E27FC236}">
                  <a16:creationId xmlns:a16="http://schemas.microsoft.com/office/drawing/2014/main" id="{DE7D243C-57B1-88EB-334E-4505EA64B8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10100" y="1695451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1000125</xdr:colOff>
      <xdr:row>14</xdr:row>
      <xdr:rowOff>161926</xdr:rowOff>
    </xdr:from>
    <xdr:to>
      <xdr:col>5</xdr:col>
      <xdr:colOff>390525</xdr:colOff>
      <xdr:row>20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7CE511AB-ACBB-F66C-22BB-F826EB8EAE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10100" y="2828926"/>
              <a:ext cx="1828800" cy="1095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31</xdr:row>
      <xdr:rowOff>185737</xdr:rowOff>
    </xdr:from>
    <xdr:to>
      <xdr:col>3</xdr:col>
      <xdr:colOff>962025</xdr:colOff>
      <xdr:row>46</xdr:row>
      <xdr:rowOff>71437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76D35D-4158-AB94-859E-5555DD173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53</xdr:row>
      <xdr:rowOff>14287</xdr:rowOff>
    </xdr:from>
    <xdr:to>
      <xdr:col>3</xdr:col>
      <xdr:colOff>1076325</xdr:colOff>
      <xdr:row>67</xdr:row>
      <xdr:rowOff>90487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2EC57B1-7D6A-4E1C-6505-0A79C0A78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74</xdr:row>
      <xdr:rowOff>42862</xdr:rowOff>
    </xdr:from>
    <xdr:to>
      <xdr:col>3</xdr:col>
      <xdr:colOff>1028700</xdr:colOff>
      <xdr:row>88</xdr:row>
      <xdr:rowOff>119062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EF9FC7F-EE0A-9431-2A65-82D83E44D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180976</xdr:rowOff>
    </xdr:from>
    <xdr:to>
      <xdr:col>4</xdr:col>
      <xdr:colOff>333375</xdr:colOff>
      <xdr:row>19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FF43C0B-7C42-448B-A64A-82593230E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504825</xdr:colOff>
      <xdr:row>7</xdr:row>
      <xdr:rowOff>0</xdr:rowOff>
    </xdr:from>
    <xdr:to>
      <xdr:col>9</xdr:col>
      <xdr:colOff>657225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702FAE-3D88-41FE-B0C6-46AC1BD19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7</xdr:row>
      <xdr:rowOff>0</xdr:rowOff>
    </xdr:from>
    <xdr:to>
      <xdr:col>14</xdr:col>
      <xdr:colOff>590550</xdr:colOff>
      <xdr:row>19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1E01DEB-7B30-4F89-8DCD-6ADF1EA80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 count="3">
        <s v="Carlos"/>
        <s v="Diana"/>
        <s v="Andrés"/>
      </sharedItems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 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x v="0"/>
    <x v="0"/>
    <x v="0"/>
    <n v="2"/>
    <s v="Escritorio"/>
    <x v="0"/>
    <n v="900"/>
    <n v="1800"/>
    <s v="Media"/>
    <n v="162"/>
    <s v="Centro"/>
    <n v="15000"/>
  </r>
  <r>
    <d v="2024-01-06T00:00:00"/>
    <s v="Luis Pérez "/>
    <x v="1"/>
    <x v="1"/>
    <x v="0"/>
    <n v="3"/>
    <s v="Laptop"/>
    <x v="1"/>
    <n v="2500"/>
    <n v="7500"/>
    <s v="Alta"/>
    <n v="450"/>
    <s v="Norte"/>
    <n v="12000"/>
  </r>
  <r>
    <d v="2024-01-06T00:00:00"/>
    <s v="Ana Gómez "/>
    <x v="0"/>
    <x v="0"/>
    <x v="1"/>
    <n v="24"/>
    <s v="Laptop"/>
    <x v="1"/>
    <n v="2500"/>
    <n v="60000"/>
    <s v="Alta"/>
    <n v="3600"/>
    <s v="Centro"/>
    <n v="15000"/>
  </r>
  <r>
    <d v="2024-01-07T00:00:00"/>
    <s v="Juan Ruiz "/>
    <x v="2"/>
    <x v="2"/>
    <x v="2"/>
    <n v="8"/>
    <s v="Escritorio"/>
    <x v="0"/>
    <n v="900"/>
    <n v="7200"/>
    <s v="Alta"/>
    <n v="648"/>
    <s v="Sur"/>
    <n v="10000"/>
  </r>
  <r>
    <d v="2024-01-08T00:00:00"/>
    <s v="Laura Díaz "/>
    <x v="0"/>
    <x v="0"/>
    <x v="1"/>
    <n v="16"/>
    <s v="Silla"/>
    <x v="0"/>
    <n v="300"/>
    <n v="4800"/>
    <s v="Alta"/>
    <n v="432"/>
    <s v="Centro"/>
    <n v="15000"/>
  </r>
  <r>
    <d v="2024-01-09T00:00:00"/>
    <s v="Daniel Saenz"/>
    <x v="1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B9D872-E7D2-478B-B3B4-BF0E872D0C93}" name="TablaDinámica4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70:B74" firstHeaderRow="1" firstDataRow="1" firstDataCol="1"/>
  <pivotFields count="15">
    <pivotField numFmtId="14" showAll="0"/>
    <pivotField showAll="0"/>
    <pivotField showAll="0"/>
    <pivotField showAll="0"/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a de Total_Ventas" fld="9" showDataAs="percentOfTotal" baseField="4" baseItem="0" numFmtId="1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64918-61D5-4DCB-943D-2111D1AA811E}" name="TablaDinámica3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48:C52" firstHeaderRow="0" firstDataRow="1" firstDataCol="1"/>
  <pivotFields count="15">
    <pivotField numFmtId="14"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2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Total_Ventas" fld="9" baseField="0" baseItem="0"/>
    <dataField name="Suma de Margen" fld="14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A86CF-E7E4-4661-90C6-08D2054DA74B}" name="TablaDinámica2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28:B31" firstHeaderRow="1" firstDataRow="1" firstDataCol="1"/>
  <pivotFields count="15"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uma de Total_Ventas" fld="9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G7" firstHeaderRow="1" firstDataRow="3" firstDataCol="1"/>
  <pivotFields count="15">
    <pivotField numFmtId="14" showAll="0"/>
    <pivotField showAll="0"/>
    <pivotField showAll="0"/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h="1" x="1"/>
        <item x="0"/>
        <item t="default"/>
      </items>
    </pivotField>
    <pivotField showAll="0"/>
    <pivotField showAll="0"/>
    <pivotField axis="axisRow" showAll="0">
      <items count="3">
        <item x="0"/>
        <item h="1"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2">
    <i>
      <x/>
    </i>
    <i t="grand">
      <x/>
    </i>
  </rowItems>
  <colFields count="2">
    <field x="4"/>
    <field x="-2"/>
  </colFields>
  <colItems count="6">
    <i>
      <x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A0577B1D-4BA0-4B00-97A5-E1E5F1405705}" sourceName="Ciudad_Cliente">
  <pivotTables>
    <pivotTable tabId="8" name="TablaDinámica1"/>
  </pivotTables>
  <data>
    <tabular pivotCacheId="1950897236">
      <items count="3">
        <i x="0" s="1"/>
        <i x="2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620ACF3E-581E-439C-9624-E503D850EF54}" sourceName="Canal">
  <pivotTables>
    <pivotTable tabId="8" name="TablaDinámica1"/>
  </pivotTables>
  <data>
    <tabular pivotCacheId="1950897236">
      <items count="3">
        <i x="2" s="1"/>
        <i x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9D128584-2947-4CE9-8DBB-85829E51BAB7}" sourceName="Categoria">
  <pivotTables>
    <pivotTable tabId="8" name="TablaDinámica1"/>
  </pivotTables>
  <data>
    <tabular pivotCacheId="1950897236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iudad_Cliente" xr10:uid="{B64D52E5-2CBD-4D43-9F16-6F51226004CF}" cache="SegmentaciónDeDatos_Ciudad_Cliente" caption="Ciudad_Cliente" rowHeight="241300"/>
  <slicer name="Canal" xr10:uid="{5288BE5D-8717-4BCE-AC6E-EC3421CD1811}" cache="SegmentaciónDeDatos_Canal" caption="Canal" rowHeight="241300"/>
  <slicer name="Categoria" xr10:uid="{95438D9A-F1EB-41AD-B2A7-97F491E122BC}" cache="SegmentaciónDeDatos_Categoria" caption="Categoria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topLeftCell="B1" workbookViewId="0">
      <selection activeCell="C3" sqref="C3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>G4*J4</f>
        <v>60000</v>
      </c>
      <c r="L4" t="str">
        <f t="shared" si="0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>G7*J7</f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2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G74"/>
  <sheetViews>
    <sheetView topLeftCell="A70" workbookViewId="0">
      <selection activeCell="E85" sqref="E85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3" width="15.85546875" bestFit="1" customWidth="1"/>
    <col min="4" max="4" width="20.7109375" bestFit="1" customWidth="1"/>
    <col min="5" max="5" width="15.85546875" bestFit="1" customWidth="1"/>
    <col min="6" max="6" width="25.7109375" bestFit="1" customWidth="1"/>
    <col min="7" max="7" width="20.85546875" bestFit="1" customWidth="1"/>
    <col min="8" max="8" width="25.7109375" bestFit="1" customWidth="1"/>
    <col min="9" max="9" width="20.85546875" bestFit="1" customWidth="1"/>
  </cols>
  <sheetData>
    <row r="3" spans="1:7" x14ac:dyDescent="0.25">
      <c r="B3" s="6" t="s">
        <v>55</v>
      </c>
    </row>
    <row r="4" spans="1:7" x14ac:dyDescent="0.25">
      <c r="B4" t="s">
        <v>41</v>
      </c>
      <c r="D4" t="s">
        <v>14</v>
      </c>
      <c r="F4" t="s">
        <v>57</v>
      </c>
      <c r="G4" t="s">
        <v>58</v>
      </c>
    </row>
    <row r="5" spans="1:7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</row>
    <row r="6" spans="1:7" x14ac:dyDescent="0.25">
      <c r="A6" s="7" t="s">
        <v>15</v>
      </c>
      <c r="B6" s="8">
        <v>7200</v>
      </c>
      <c r="C6" s="8">
        <v>1440</v>
      </c>
      <c r="D6" s="8">
        <v>1800</v>
      </c>
      <c r="E6" s="8">
        <v>360</v>
      </c>
      <c r="F6" s="8">
        <v>9000</v>
      </c>
      <c r="G6" s="8">
        <v>1800</v>
      </c>
    </row>
    <row r="7" spans="1:7" x14ac:dyDescent="0.25">
      <c r="A7" s="7" t="s">
        <v>54</v>
      </c>
      <c r="B7" s="8">
        <v>7200</v>
      </c>
      <c r="C7" s="8">
        <v>1440</v>
      </c>
      <c r="D7" s="8">
        <v>1800</v>
      </c>
      <c r="E7" s="8">
        <v>360</v>
      </c>
      <c r="F7" s="8">
        <v>9000</v>
      </c>
      <c r="G7" s="8">
        <v>1800</v>
      </c>
    </row>
    <row r="28" spans="1:2" x14ac:dyDescent="0.25">
      <c r="A28" s="6" t="s">
        <v>53</v>
      </c>
      <c r="B28" t="s">
        <v>56</v>
      </c>
    </row>
    <row r="29" spans="1:2" x14ac:dyDescent="0.25">
      <c r="A29" s="7" t="s">
        <v>15</v>
      </c>
      <c r="B29" s="8">
        <v>13800</v>
      </c>
    </row>
    <row r="30" spans="1:2" x14ac:dyDescent="0.25">
      <c r="A30" s="7" t="s">
        <v>8</v>
      </c>
      <c r="B30" s="8">
        <v>75000</v>
      </c>
    </row>
    <row r="31" spans="1:2" x14ac:dyDescent="0.25">
      <c r="A31" s="7" t="s">
        <v>54</v>
      </c>
      <c r="B31" s="8">
        <v>88800</v>
      </c>
    </row>
    <row r="48" spans="1:3" x14ac:dyDescent="0.25">
      <c r="A48" s="6" t="s">
        <v>53</v>
      </c>
      <c r="B48" t="s">
        <v>56</v>
      </c>
      <c r="C48" t="s">
        <v>59</v>
      </c>
    </row>
    <row r="49" spans="1:3" x14ac:dyDescent="0.25">
      <c r="A49" s="7" t="s">
        <v>9</v>
      </c>
      <c r="B49" s="8">
        <v>66600</v>
      </c>
      <c r="C49" s="8">
        <v>13320</v>
      </c>
    </row>
    <row r="50" spans="1:3" x14ac:dyDescent="0.25">
      <c r="A50" s="7" t="s">
        <v>12</v>
      </c>
      <c r="B50" s="8">
        <v>15000</v>
      </c>
      <c r="C50" s="8">
        <v>3000</v>
      </c>
    </row>
    <row r="51" spans="1:3" x14ac:dyDescent="0.25">
      <c r="A51" s="7" t="s">
        <v>16</v>
      </c>
      <c r="B51" s="8">
        <v>7200</v>
      </c>
      <c r="C51" s="8">
        <v>1440</v>
      </c>
    </row>
    <row r="52" spans="1:3" x14ac:dyDescent="0.25">
      <c r="A52" s="7" t="s">
        <v>54</v>
      </c>
      <c r="B52" s="8">
        <v>88800</v>
      </c>
      <c r="C52" s="8">
        <v>17760</v>
      </c>
    </row>
    <row r="70" spans="1:2" x14ac:dyDescent="0.25">
      <c r="A70" s="6" t="s">
        <v>53</v>
      </c>
      <c r="B70" t="s">
        <v>56</v>
      </c>
    </row>
    <row r="71" spans="1:2" x14ac:dyDescent="0.25">
      <c r="A71" s="7" t="s">
        <v>11</v>
      </c>
      <c r="B71" s="12">
        <v>0.72972972972972971</v>
      </c>
    </row>
    <row r="72" spans="1:2" x14ac:dyDescent="0.25">
      <c r="A72" s="7" t="s">
        <v>14</v>
      </c>
      <c r="B72" s="12">
        <v>0.1891891891891892</v>
      </c>
    </row>
    <row r="73" spans="1:2" x14ac:dyDescent="0.25">
      <c r="A73" s="7" t="s">
        <v>41</v>
      </c>
      <c r="B73" s="12">
        <v>8.1081081081081086E-2</v>
      </c>
    </row>
    <row r="74" spans="1:2" x14ac:dyDescent="0.25">
      <c r="A74" s="7" t="s">
        <v>54</v>
      </c>
      <c r="B74" s="12">
        <v>1</v>
      </c>
    </row>
  </sheetData>
  <pageMargins left="0.7" right="0.7" top="0.75" bottom="0.75" header="0.3" footer="0.3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B857-B6E6-4422-94BD-7394F300F344}">
  <dimension ref="B2:C6"/>
  <sheetViews>
    <sheetView tabSelected="1" workbookViewId="0">
      <selection activeCell="Q18" sqref="Q18"/>
    </sheetView>
  </sheetViews>
  <sheetFormatPr baseColWidth="10" defaultRowHeight="15" x14ac:dyDescent="0.25"/>
  <cols>
    <col min="2" max="2" width="21.42578125" customWidth="1"/>
    <col min="3" max="3" width="16.42578125" bestFit="1" customWidth="1"/>
  </cols>
  <sheetData>
    <row r="2" spans="2:3" ht="18.75" x14ac:dyDescent="0.25">
      <c r="B2" s="9" t="s">
        <v>61</v>
      </c>
      <c r="C2" s="9" t="s">
        <v>43</v>
      </c>
    </row>
    <row r="3" spans="2:3" ht="17.25" customHeight="1" x14ac:dyDescent="0.25">
      <c r="B3" s="10" t="s">
        <v>44</v>
      </c>
      <c r="C3" s="11">
        <f>Analisis!B2</f>
        <v>88800</v>
      </c>
    </row>
    <row r="4" spans="2:3" ht="16.5" customHeight="1" x14ac:dyDescent="0.25">
      <c r="B4" s="10" t="s">
        <v>45</v>
      </c>
      <c r="C4" s="11">
        <f>SUM(tbl_Ventas[Comision])</f>
        <v>5742</v>
      </c>
    </row>
    <row r="5" spans="2:3" ht="15.75" customHeight="1" x14ac:dyDescent="0.25">
      <c r="B5" s="10" t="s">
        <v>47</v>
      </c>
      <c r="C5" s="11">
        <f>AVERAGE(tbl_Ventas[Total_Ventas])</f>
        <v>14800</v>
      </c>
    </row>
    <row r="6" spans="2:3" ht="15.75" customHeight="1" x14ac:dyDescent="0.25">
      <c r="B6" s="10" t="s">
        <v>62</v>
      </c>
      <c r="C6" s="11">
        <f>C3/SUM(tbl_Ventas[Meta_Vendedor])</f>
        <v>1.1240506329113924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2026-02-09T19:53:37Z</dcterms:modified>
</cp:coreProperties>
</file>