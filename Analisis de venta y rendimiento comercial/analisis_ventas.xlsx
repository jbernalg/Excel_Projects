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D3FB15D3-94AD-4C97-963B-1D035731C653}" xr6:coauthVersionLast="47" xr6:coauthVersionMax="47" xr10:uidLastSave="{00000000-0000-0000-0000-000000000000}"/>
  <bookViews>
    <workbookView xWindow="-120" yWindow="-120" windowWidth="20730" windowHeight="11160" activeTab="5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5" i="6"/>
  <c r="L3" i="6"/>
  <c r="K4" i="6"/>
  <c r="K5" i="6"/>
  <c r="J4" i="6"/>
  <c r="J5" i="6"/>
  <c r="F3" i="6"/>
  <c r="B4" i="6"/>
  <c r="B2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B5" i="6" s="1"/>
  <c r="J5" i="2"/>
  <c r="K5" i="2" s="1"/>
  <c r="J6" i="2"/>
  <c r="K6" i="2" s="1"/>
  <c r="J2" i="2"/>
  <c r="K2" i="2" s="1"/>
  <c r="B3" i="6" l="1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<sst xmlns="http://schemas.openxmlformats.org/spreadsheetml/2006/main" count="124" uniqueCount="53">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</sst>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21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fgColor theme="0"/>
          <bgColor rgb="FF92D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6" totalsRowShown="0" headerRowDxfId="3">
  <autoFilter ref="B1:O6" xr:uid="{D6F5F690-9516-436E-95BD-879E016B9934}"/>
  <tableColumns count="14">
    <tableColumn id="1" xr3:uid="{F686120E-3EBE-4819-A4C9-C5C19E7694D8}" name="Fecha" dataDxfId="11"/>
    <tableColumn id="2" xr3:uid="{57EC154B-AFCA-4F28-B2A5-1B3D4A522B8B}" name="Nombre_Cliente" dataDxfId="10"/>
    <tableColumn id="3" xr3:uid="{20842C38-4314-4C04-AF5D-57B781570431}" name="Vendedor" dataDxfId="9"/>
    <tableColumn id="4" xr3:uid="{1AFF7737-AC16-446D-9C38-30E465477779}" name="Ciudad_Cliente" dataDxfId="8"/>
    <tableColumn id="5" xr3:uid="{EA20E595-DFA8-44EF-A492-70AF7EF4F681}" name="Canal" dataDxfId="7"/>
    <tableColumn id="6" xr3:uid="{31392976-848E-4F0B-A479-313941522E30}" name="Cantidad" dataDxfId="6"/>
    <tableColumn id="7" xr3:uid="{AB4AD0D6-5E87-4A7E-80FC-48B981701FAA}" name="Producto" dataDxfId="5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4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6" dataDxfId="17">
  <autoFilter ref="A1:C5" xr:uid="{A92B6507-4B6A-4B49-B413-87F7A39C07E3}"/>
  <tableColumns count="3">
    <tableColumn id="1" xr3:uid="{C55A325D-7BD6-49AC-B11E-EDF0A27B1C16}" name="Producto" dataDxfId="20"/>
    <tableColumn id="2" xr3:uid="{A0FFE583-A718-487D-81FE-9C07633F39F7}" name="Categoría" dataDxfId="19"/>
    <tableColumn id="3" xr3:uid="{9177BD52-4EA4-494A-BEA0-D32F3FBB1A94}" name="Precio_Unitario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12" dataDxfId="13">
  <autoFilter ref="A1:B4" xr:uid="{15766B5E-EE8D-46D2-AF07-6C940906BD4A}"/>
  <tableColumns count="2">
    <tableColumn id="1" xr3:uid="{18AD78C6-E525-46AB-B3FD-CD06CC0882AC}" name="Vendedor" dataDxfId="15"/>
    <tableColumn id="2" xr3:uid="{0E06197B-6A6B-416F-ACB8-12C41A75EC61}" name="Zona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6"/>
  <sheetViews>
    <sheetView topLeftCell="C1" workbookViewId="0">
      <selection activeCell="H4" sqref="H4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ht="30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tabSelected="1"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81300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5292</v>
      </c>
      <c r="E3" s="2" t="s">
        <v>8</v>
      </c>
      <c r="F3" s="2">
        <f>SUMIF(tbl_Ventas[Categoria],E3,tbl_Ventas[Total_Ventas])</f>
        <v>67500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5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7500</v>
      </c>
      <c r="K4">
        <f>SUMIF(tbl_Ventas[Vendedor],I4,tbl_Ventas[Comision])</f>
        <v>450</v>
      </c>
      <c r="L4">
        <f>HLOOKUP(I4,Catalogos!$E$1:$H$2,2,FALSE)</f>
        <v>12000</v>
      </c>
      <c r="M4" t="str">
        <f t="shared" ref="M4:M5" si="0">IF(J4&gt;L4,"Cumple","No Cumple")</f>
        <v>No Cumple</v>
      </c>
    </row>
    <row r="5" spans="1:13" x14ac:dyDescent="0.25">
      <c r="A5" s="2" t="s">
        <v>47</v>
      </c>
      <c r="B5" s="2">
        <f>AVERAGE(tbl_Ventas[Total_Ventas])</f>
        <v>16260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2" priority="2" operator="containsText" text="Cumple">
      <formula>NOT(ISERROR(SEARCH("Cumple",M3)))</formula>
    </cfRule>
    <cfRule type="containsText" dxfId="1" priority="1" operator="containsText" text="No Cumple">
      <formula>NOT(ISERROR(SEARCH("No Cumple",M3)))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Datos_Crudos</vt:lpstr>
      <vt:lpstr>Datos_Limpios</vt:lpstr>
      <vt:lpstr>Productos</vt:lpstr>
      <vt:lpstr>Reglas_Comision</vt:lpstr>
      <vt:lpstr>Catalogos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2026-02-07T20:11:08Z</dcterms:modified>
</cp:coreProperties>
</file>