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F76BFE8C-8EA7-457A-945B-B03F96064888}" xr6:coauthVersionLast="47" xr6:coauthVersionMax="47" xr10:uidLastSave="{00000000-0000-0000-0000-000000000000}"/>
  <bookViews>
    <workbookView xWindow="-120" yWindow="-120" windowWidth="20730" windowHeight="11160" firstSheet="2" activeTab="7" xr2:uid="{C3689989-C428-4383-B478-D0EDFC37C904}"/>
  </bookViews>
  <sheets>
    <sheet name="Datos_Crudos" sheetId="1" r:id="rId1"/>
    <sheet name="Datos_Limpios" sheetId="2" r:id="rId2"/>
    <sheet name="Productos" sheetId="3" r:id="rId3"/>
    <sheet name="Reglas_Comision" sheetId="4" r:id="rId4"/>
    <sheet name="Catalogos" sheetId="5" r:id="rId5"/>
    <sheet name="Analisis" sheetId="6" r:id="rId6"/>
    <sheet name="Tablas_Dinamicas" sheetId="8" r:id="rId7"/>
    <sheet name="Dashboard" sheetId="9" r:id="rId8"/>
  </sheets>
  <definedNames>
    <definedName name="_xlnm._FilterDatabase" localSheetId="0" hidden="1">Datos_Crudos!$A$1:$I$1</definedName>
    <definedName name="SegmentaciónDeDatos_Canal1">#N/A</definedName>
    <definedName name="SegmentaciónDeDatos_Categoria">#N/A</definedName>
    <definedName name="SegmentaciónDeDatos_Ciudad_Cliente">#N/A</definedName>
    <definedName name="SegmentaciónDeDatos_Vendedor">#N/A</definedName>
  </definedNames>
  <calcPr calcId="191029"/>
  <pivotCaches>
    <pivotCache cacheId="0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6" l="1"/>
  <c r="I7" i="2"/>
  <c r="J7" i="2"/>
  <c r="K7" i="2" s="1"/>
  <c r="N7" i="2"/>
  <c r="O7" i="2"/>
  <c r="L4" i="6"/>
  <c r="L5" i="6"/>
  <c r="L3" i="6"/>
  <c r="K5" i="6"/>
  <c r="J4" i="6"/>
  <c r="J5" i="6"/>
  <c r="F3" i="6"/>
  <c r="B4" i="6"/>
  <c r="O3" i="2"/>
  <c r="O4" i="2"/>
  <c r="O5" i="2"/>
  <c r="O6" i="2"/>
  <c r="O2" i="2"/>
  <c r="N3" i="2"/>
  <c r="N4" i="2"/>
  <c r="N5" i="2"/>
  <c r="N6" i="2"/>
  <c r="N2" i="2"/>
  <c r="M3" i="2"/>
  <c r="M4" i="2"/>
  <c r="K3" i="6" s="1"/>
  <c r="M5" i="2"/>
  <c r="M6" i="2"/>
  <c r="M2" i="2"/>
  <c r="L3" i="2"/>
  <c r="L5" i="2"/>
  <c r="L6" i="2"/>
  <c r="L2" i="2"/>
  <c r="I3" i="2"/>
  <c r="I4" i="2"/>
  <c r="A9" i="6" s="1"/>
  <c r="I5" i="2"/>
  <c r="I6" i="2"/>
  <c r="I2" i="2"/>
  <c r="J3" i="2"/>
  <c r="K3" i="2" s="1"/>
  <c r="J4" i="2"/>
  <c r="K4" i="2" s="1"/>
  <c r="J5" i="2"/>
  <c r="K5" i="2" s="1"/>
  <c r="J6" i="2"/>
  <c r="K6" i="2" s="1"/>
  <c r="J2" i="2"/>
  <c r="K2" i="2" s="1"/>
  <c r="M7" i="2" l="1"/>
  <c r="K4" i="6" s="1"/>
  <c r="B2" i="6"/>
  <c r="L7" i="2"/>
  <c r="B5" i="6"/>
  <c r="B3" i="6"/>
  <c r="F4" i="6"/>
  <c r="M5" i="6"/>
  <c r="J3" i="6"/>
  <c r="M3" i="6" s="1"/>
  <c r="M4" i="6"/>
  <c r="L4" i="2"/>
</calcChain>
</file>

<file path=xl/sharedStrings.xml><?xml version="1.0" encoding="utf-8"?>
<sst xmlns="http://schemas.openxmlformats.org/spreadsheetml/2006/main" count="168" uniqueCount="68">
  <si>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</si>
  <si>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</si>
  <si>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</si>
  <si>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</si>
  <si>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</si>
  <si>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</si>
  <si>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</si>
  <si>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</si>
  <si>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</si>
  <si>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</si>
  <si>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</si>
  <si>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</si>
  <si>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</si>
  <si>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</si>
  <si>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</si>
  <si>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</si>
  <si>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</si>
  <si>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</si>
  <si>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</si>
  <si>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</si>
  <si>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</si>
  <si>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</si>
  <si>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</si>
  <si>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</si>
  <si>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</si>
  <si>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</si>
  <si>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</si>
  <si>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</si>
  <si>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</si>
  <si>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</si>
  <si>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</si>
  <si>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</si>
  <si>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</si>
  <si>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</si>
  <si>
    <t>PCT_comision</t>
  </si>
  <si>
    <t>Zona</t>
  </si>
  <si>
    <t>Centro</t>
  </si>
  <si>
    <t>Norte</t>
  </si>
  <si>
    <t>Sur</t>
  </si>
  <si>
    <t>Meta_Mensual</t>
  </si>
  <si>
    <t>Meta_Vendedor</t>
  </si>
  <si>
    <t>Mayorista</t>
  </si>
  <si>
    <t>Métrica</t>
  </si>
  <si>
    <t>Valor</t>
  </si>
  <si>
    <t>Ventas Totales</t>
  </si>
  <si>
    <t>Total Comisiones</t>
  </si>
  <si>
    <t>Número de Ventas</t>
  </si>
  <si>
    <t>Ticket Promedio</t>
  </si>
  <si>
    <t>Ventas</t>
  </si>
  <si>
    <t>Comisión</t>
  </si>
  <si>
    <t>Cumple Meta</t>
  </si>
  <si>
    <t xml:space="preserve"> Meta</t>
  </si>
  <si>
    <t>Ventas de Tecnologia en Bogota</t>
  </si>
  <si>
    <t>Etiquetas de fila</t>
  </si>
  <si>
    <t>Total general</t>
  </si>
  <si>
    <t>Etiquetas de columna</t>
  </si>
  <si>
    <t>Suma de Total_Ventas</t>
  </si>
  <si>
    <t>Total Suma de Total_Ventas</t>
  </si>
  <si>
    <t>Total Suma de Margen</t>
  </si>
  <si>
    <t>Suma de Margen</t>
  </si>
  <si>
    <t>Daniel Saenz</t>
  </si>
  <si>
    <t>Total_de_Ventas</t>
  </si>
  <si>
    <t>Margen_Ganancia</t>
  </si>
  <si>
    <t xml:space="preserve"> </t>
  </si>
  <si>
    <t xml:space="preserve">            </t>
  </si>
  <si>
    <t xml:space="preserve">                           </t>
  </si>
  <si>
    <t xml:space="preserve">       </t>
  </si>
  <si>
    <t>Cumplimiento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</si>
</sst>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\ #,##0.00"/>
    <numFmt numFmtId="165" formatCode="&quot;$&quot;\ #,##0"/>
    <numFmt numFmtId="166" formatCode="0.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9" fontId="3" fillId="0" borderId="0" xfId="0" applyNumberFormat="1" applyFont="1" applyAlignment="1">
      <alignment horizontal="left" vertical="center" wrapText="1"/>
    </xf>
    <xf numFmtId="165" fontId="3" fillId="0" borderId="0" xfId="0" applyNumberFormat="1" applyFont="1" applyAlignment="1">
      <alignment horizontal="left" vertical="center" wrapText="1"/>
    </xf>
    <xf numFmtId="0" fontId="4" fillId="2" borderId="0" xfId="0" applyFont="1" applyFill="1"/>
    <xf numFmtId="165" fontId="0" fillId="0" borderId="0" xfId="0" applyNumberFormat="1" applyAlignment="1">
      <alignment vertical="center" wrapText="1"/>
    </xf>
    <xf numFmtId="166" fontId="0" fillId="0" borderId="0" xfId="0" applyNumberFormat="1"/>
  </cellXfs>
  <cellStyles count="1">
    <cellStyle name="Normal" xfId="0" builtinId="0"/>
  </cellStyles>
  <dxfs count="20">
    <dxf>
      <fill>
        <patternFill>
          <fgColor theme="0"/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numFmt numFmtId="19" formatCode="d/mm/yyyy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7F7F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Tablas_Dinamicas!$B$3:$B$5</c:f>
              <c:strCache>
                <c:ptCount val="1"/>
                <c:pt idx="0">
                  <c:v>Mayorista - Suma de Total_Ventas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Tablas_Dinamicas!$B$6:$B$8</c:f>
              <c:numCache>
                <c:formatCode>General</c:formatCode>
                <c:ptCount val="2"/>
                <c:pt idx="0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61-4A71-BE75-232FC779DBC3}"/>
            </c:ext>
          </c:extLst>
        </c:ser>
        <c:ser>
          <c:idx val="1"/>
          <c:order val="1"/>
          <c:tx>
            <c:strRef>
              <c:f>Tablas_Dinamicas!$C$3:$C$5</c:f>
              <c:strCache>
                <c:ptCount val="1"/>
                <c:pt idx="0">
                  <c:v>Mayorista - Suma de Margen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Tablas_Dinamicas!$C$6:$C$8</c:f>
              <c:numCache>
                <c:formatCode>General</c:formatCode>
                <c:ptCount val="2"/>
                <c:pt idx="0">
                  <c:v>1440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61-4A71-BE75-232FC779DBC3}"/>
            </c:ext>
          </c:extLst>
        </c:ser>
        <c:ser>
          <c:idx val="2"/>
          <c:order val="2"/>
          <c:tx>
            <c:strRef>
              <c:f>Tablas_Dinamicas!$D$3:$D$5</c:f>
              <c:strCache>
                <c:ptCount val="1"/>
                <c:pt idx="0">
                  <c:v>Online - Suma de Total_Ventas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Tablas_Dinamicas!$D$6:$D$8</c:f>
              <c:numCache>
                <c:formatCode>General</c:formatCode>
                <c:ptCount val="2"/>
                <c:pt idx="0">
                  <c:v>4800</c:v>
                </c:pt>
                <c:pt idx="1">
                  <c:v>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8CE-49B5-8EE4-9AE62E748FFA}"/>
            </c:ext>
          </c:extLst>
        </c:ser>
        <c:ser>
          <c:idx val="3"/>
          <c:order val="3"/>
          <c:tx>
            <c:strRef>
              <c:f>Tablas_Dinamicas!$E$3:$E$5</c:f>
              <c:strCache>
                <c:ptCount val="1"/>
                <c:pt idx="0">
                  <c:v>Online - Suma de Margen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Tablas_Dinamicas!$E$6:$E$8</c:f>
              <c:numCache>
                <c:formatCode>General</c:formatCode>
                <c:ptCount val="2"/>
                <c:pt idx="0">
                  <c:v>960</c:v>
                </c:pt>
                <c:pt idx="1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8CE-49B5-8EE4-9AE62E748FFA}"/>
            </c:ext>
          </c:extLst>
        </c:ser>
        <c:ser>
          <c:idx val="4"/>
          <c:order val="4"/>
          <c:tx>
            <c:strRef>
              <c:f>Tablas_Dinamicas!$F$3:$F$5</c:f>
              <c:strCache>
                <c:ptCount val="1"/>
                <c:pt idx="0">
                  <c:v>Tienda - Suma de Total_Ventas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Tablas_Dinamicas!$F$6:$F$8</c:f>
              <c:numCache>
                <c:formatCode>General</c:formatCode>
                <c:ptCount val="2"/>
                <c:pt idx="0">
                  <c:v>1800</c:v>
                </c:pt>
                <c:pt idx="1">
                  <c:v>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8CE-49B5-8EE4-9AE62E748FFA}"/>
            </c:ext>
          </c:extLst>
        </c:ser>
        <c:ser>
          <c:idx val="5"/>
          <c:order val="5"/>
          <c:tx>
            <c:strRef>
              <c:f>Tablas_Dinamicas!$G$3:$G$5</c:f>
              <c:strCache>
                <c:ptCount val="1"/>
                <c:pt idx="0">
                  <c:v>Tienda - Suma de Margen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Tablas_Dinamicas!$G$6:$G$8</c:f>
              <c:numCache>
                <c:formatCode>General</c:formatCode>
                <c:ptCount val="2"/>
                <c:pt idx="0">
                  <c:v>360</c:v>
                </c:pt>
                <c:pt idx="1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8CE-49B5-8EE4-9AE62E748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0791407"/>
        <c:axId val="730802927"/>
      </c:barChart>
      <c:catAx>
        <c:axId val="730791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02927"/>
        <c:crosses val="autoZero"/>
        <c:auto val="1"/>
        <c:lblAlgn val="ctr"/>
        <c:lblOffset val="100"/>
        <c:noMultiLvlLbl val="0"/>
      </c:catAx>
      <c:valAx>
        <c:axId val="73080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79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Tablas_Dinamicas!$A$29:$A$31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Tablas_Dinamicas!$B$29:$B$31</c:f>
              <c:numCache>
                <c:formatCode>General</c:formatCode>
                <c:ptCount val="2"/>
                <c:pt idx="0">
                  <c:v>13800</c:v>
                </c:pt>
                <c:pt idx="1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A-43DA-BB44-D2B26D2BF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0361167"/>
        <c:axId val="740365967"/>
      </c:barChart>
      <c:catAx>
        <c:axId val="740361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5967"/>
        <c:crosses val="autoZero"/>
        <c:auto val="1"/>
        <c:lblAlgn val="ctr"/>
        <c:lblOffset val="100"/>
        <c:noMultiLvlLbl val="0"/>
      </c:catAx>
      <c:valAx>
        <c:axId val="74036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Ventas</a:t>
            </a:r>
            <a:r>
              <a:rPr lang="es-CO" baseline="0"/>
              <a:t> Totales por Vendedor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Tablas_Dinamicas!$B$48</c:f>
              <c:strCache>
                <c:ptCount val="1"/>
                <c:pt idx="0">
                  <c:v>Total_de_Ventas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Tablas_Dinamicas!$B$49:$B$52</c:f>
              <c:numCache>
                <c:formatCode>General</c:formatCode>
                <c:ptCount val="3"/>
                <c:pt idx="0">
                  <c:v>66600</c:v>
                </c:pt>
                <c:pt idx="1">
                  <c:v>15000</c:v>
                </c:pt>
                <c:pt idx="2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E5-4F35-BD13-CB77EEBD32F9}"/>
            </c:ext>
          </c:extLst>
        </c:ser>
        <c:ser>
          <c:idx val="1"/>
          <c:order val="1"/>
          <c:tx>
            <c:strRef>
              <c:f>Tablas_Dinamicas!$C$48</c:f>
              <c:strCache>
                <c:ptCount val="1"/>
                <c:pt idx="0">
                  <c:v>Margen_Ganancia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Tablas_Dinamicas!$C$49:$C$52</c:f>
              <c:numCache>
                <c:formatCode>General</c:formatCode>
                <c:ptCount val="3"/>
                <c:pt idx="0">
                  <c:v>13320</c:v>
                </c:pt>
                <c:pt idx="1">
                  <c:v>3000</c:v>
                </c:pt>
                <c:pt idx="2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E5-4F35-BD13-CB77EEBD3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30827407"/>
        <c:axId val="730830767"/>
      </c:barChart>
      <c:catAx>
        <c:axId val="7308274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30767"/>
        <c:crosses val="autoZero"/>
        <c:auto val="1"/>
        <c:lblAlgn val="ctr"/>
        <c:lblOffset val="100"/>
        <c:noMultiLvlLbl val="0"/>
      </c:catAx>
      <c:valAx>
        <c:axId val="73083076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2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por Canal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Tablas_Dinamicas!$B$70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1FF-430B-BA8D-796EB6EA15C8}"/>
              </c:ext>
            </c:extLst>
          </c:dPt>
          <c:dPt>
            <c:idx val="1"/>
            <c:bubble3D val="0"/>
            <c:spPr>
              <a:solidFill>
                <a:srgbClr val="7F7FB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FF-430B-BA8D-796EB6EA15C8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1FF-430B-BA8D-796EB6EA15C8}"/>
              </c:ext>
            </c:extLst>
          </c:dPt>
          <c:dLbls>
            <c:dLbl>
              <c:idx val="2"/>
              <c:layout>
                <c:manualLayout>
                  <c:x val="-5.5555555555555558E-3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1FF-430B-BA8D-796EB6EA15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Tablas_Dinamicas!$A$71:$A$74</c:f>
              <c:strCache>
                <c:ptCount val="3"/>
                <c:pt idx="0">
                  <c:v>Online</c:v>
                </c:pt>
                <c:pt idx="1">
                  <c:v>Tienda</c:v>
                </c:pt>
                <c:pt idx="2">
                  <c:v>Mayorista</c:v>
                </c:pt>
              </c:strCache>
            </c:strRef>
          </c:cat>
          <c:val>
            <c:numRef>
              <c:f>Tablas_Dinamicas!$B$71:$B$74</c:f>
              <c:numCache>
                <c:formatCode>0.00%</c:formatCode>
                <c:ptCount val="3"/>
                <c:pt idx="0">
                  <c:v>0.72972972972972971</c:v>
                </c:pt>
                <c:pt idx="1">
                  <c:v>0.1891891891891892</c:v>
                </c:pt>
                <c:pt idx="2">
                  <c:v>8.1081081081081086E-2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F-430B-BA8D-796EB6EA15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  <a:r>
              <a:rPr lang="en-US" baseline="0"/>
              <a:t> Totales por Categoria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240A]\ 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6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3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1747-4289-AB4E-2ED1F7C03E1B}"/>
              </c:ext>
            </c:extLst>
          </c:dPt>
          <c:dLbls>
            <c:numFmt formatCode="[$$-240A]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Tablas_Dinamicas!$A$29:$A$31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Tablas_Dinamicas!$B$29:$B$31</c:f>
              <c:numCache>
                <c:formatCode>General</c:formatCode>
                <c:ptCount val="2"/>
                <c:pt idx="0">
                  <c:v>13800</c:v>
                </c:pt>
                <c:pt idx="1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64-476E-A926-B8EE702D4C1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0"/>
        <c:overlap val="-27"/>
        <c:axId val="740361167"/>
        <c:axId val="740365967"/>
      </c:barChart>
      <c:catAx>
        <c:axId val="7403611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5967"/>
        <c:crosses val="autoZero"/>
        <c:auto val="1"/>
        <c:lblAlgn val="ctr"/>
        <c:lblOffset val="100"/>
        <c:noMultiLvlLbl val="0"/>
      </c:catAx>
      <c:valAx>
        <c:axId val="740365967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74036116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Ventas</a:t>
            </a:r>
            <a:r>
              <a:rPr lang="es-CO" baseline="0"/>
              <a:t> Totales por Vendedor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031773672521701"/>
          <c:y val="0.25294135364227011"/>
          <c:w val="0.46554159095497677"/>
          <c:h val="0.6705559141172927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Tablas_Dinamicas!$B$48</c:f>
              <c:strCache>
                <c:ptCount val="1"/>
                <c:pt idx="0">
                  <c:v>Total_de_Ventas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Tablas_Dinamicas!$B$49:$B$52</c:f>
              <c:numCache>
                <c:formatCode>General</c:formatCode>
                <c:ptCount val="3"/>
                <c:pt idx="0">
                  <c:v>66600</c:v>
                </c:pt>
                <c:pt idx="1">
                  <c:v>15000</c:v>
                </c:pt>
                <c:pt idx="2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4-49B7-89EE-9FB66BE3AE0D}"/>
            </c:ext>
          </c:extLst>
        </c:ser>
        <c:ser>
          <c:idx val="1"/>
          <c:order val="1"/>
          <c:tx>
            <c:strRef>
              <c:f>Tablas_Dinamicas!$C$48</c:f>
              <c:strCache>
                <c:ptCount val="1"/>
                <c:pt idx="0">
                  <c:v>Margen_Ganancia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Tablas_Dinamicas!$C$49:$C$52</c:f>
              <c:numCache>
                <c:formatCode>General</c:formatCode>
                <c:ptCount val="3"/>
                <c:pt idx="0">
                  <c:v>13320</c:v>
                </c:pt>
                <c:pt idx="1">
                  <c:v>3000</c:v>
                </c:pt>
                <c:pt idx="2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4-49B7-89EE-9FB66BE3A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30827407"/>
        <c:axId val="730830767"/>
      </c:barChart>
      <c:catAx>
        <c:axId val="7308274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30767"/>
        <c:crosses val="autoZero"/>
        <c:auto val="1"/>
        <c:lblAlgn val="ctr"/>
        <c:lblOffset val="100"/>
        <c:noMultiLvlLbl val="0"/>
      </c:catAx>
      <c:valAx>
        <c:axId val="73083076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2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4604547260376577"/>
          <c:y val="0.45094356955380571"/>
          <c:w val="0.31311503129416512"/>
          <c:h val="0.187501312335958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de Ventas por Canal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5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0765916679421023E-3"/>
              <c:y val="-3.593513466418357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Tablas_Dinamicas!$B$70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CD-48C2-883C-835E3098BCED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7CD-48C2-883C-835E3098BCED}"/>
              </c:ext>
            </c:extLst>
          </c:dPt>
          <c:dPt>
            <c:idx val="2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7CD-48C2-883C-835E3098BCED}"/>
              </c:ext>
            </c:extLst>
          </c:dPt>
          <c:dLbls>
            <c:dLbl>
              <c:idx val="2"/>
              <c:layout>
                <c:manualLayout>
                  <c:x val="3.0765916679421023E-3"/>
                  <c:y val="-3.593513466418357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7CD-48C2-883C-835E3098BC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Tablas_Dinamicas!$A$71:$A$74</c:f>
              <c:strCache>
                <c:ptCount val="3"/>
                <c:pt idx="0">
                  <c:v>Online</c:v>
                </c:pt>
                <c:pt idx="1">
                  <c:v>Tienda</c:v>
                </c:pt>
                <c:pt idx="2">
                  <c:v>Mayorista</c:v>
                </c:pt>
              </c:strCache>
            </c:strRef>
          </c:cat>
          <c:val>
            <c:numRef>
              <c:f>Tablas_Dinamicas!$B$71:$B$74</c:f>
              <c:numCache>
                <c:formatCode>0.00%</c:formatCode>
                <c:ptCount val="3"/>
                <c:pt idx="0">
                  <c:v>0.72972972972972971</c:v>
                </c:pt>
                <c:pt idx="1">
                  <c:v>0.1891891891891892</c:v>
                </c:pt>
                <c:pt idx="2">
                  <c:v>8.1081081081081086E-2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CD-48C2-883C-835E3098BC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14287</xdr:rowOff>
    </xdr:from>
    <xdr:to>
      <xdr:col>3</xdr:col>
      <xdr:colOff>847725</xdr:colOff>
      <xdr:row>24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BEA44C0-2F00-B45C-1434-B80DECFAF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31</xdr:row>
      <xdr:rowOff>185737</xdr:rowOff>
    </xdr:from>
    <xdr:to>
      <xdr:col>3</xdr:col>
      <xdr:colOff>962025</xdr:colOff>
      <xdr:row>46</xdr:row>
      <xdr:rowOff>71437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F76D35D-4158-AB94-859E-5555DD1739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114300</xdr:colOff>
      <xdr:row>53</xdr:row>
      <xdr:rowOff>14287</xdr:rowOff>
    </xdr:from>
    <xdr:to>
      <xdr:col>3</xdr:col>
      <xdr:colOff>1076325</xdr:colOff>
      <xdr:row>67</xdr:row>
      <xdr:rowOff>90487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2EC57B1-7D6A-4E1C-6505-0A79C0A78D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74</xdr:row>
      <xdr:rowOff>42862</xdr:rowOff>
    </xdr:from>
    <xdr:to>
      <xdr:col>3</xdr:col>
      <xdr:colOff>1028700</xdr:colOff>
      <xdr:row>88</xdr:row>
      <xdr:rowOff>119062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EF9FC7F-EE0A-9431-2A65-82D83E44D0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</xdr:col>
      <xdr:colOff>371475</xdr:colOff>
      <xdr:row>47</xdr:row>
      <xdr:rowOff>152400</xdr:rowOff>
    </xdr:from>
    <xdr:to>
      <xdr:col>5</xdr:col>
      <xdr:colOff>1143000</xdr:colOff>
      <xdr:row>54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Canal 1">
              <a:extLst>
                <a:ext uri="{FF2B5EF4-FFF2-40B4-BE49-F238E27FC236}">
                  <a16:creationId xmlns:a16="http://schemas.microsoft.com/office/drawing/2014/main" id="{B225C605-7044-4C9E-9B25-14A502477A2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8300" y="9105900"/>
              <a:ext cx="1828800" cy="128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381000</xdr:colOff>
      <xdr:row>40</xdr:row>
      <xdr:rowOff>180976</xdr:rowOff>
    </xdr:from>
    <xdr:to>
      <xdr:col>5</xdr:col>
      <xdr:colOff>1152525</xdr:colOff>
      <xdr:row>47</xdr:row>
      <xdr:rowOff>28576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Vendedor">
              <a:extLst>
                <a:ext uri="{FF2B5EF4-FFF2-40B4-BE49-F238E27FC236}">
                  <a16:creationId xmlns:a16="http://schemas.microsoft.com/office/drawing/2014/main" id="{17032B73-C4B4-8344-5858-08046C3E4D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57825" y="7800976"/>
              <a:ext cx="182880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361950</xdr:colOff>
      <xdr:row>35</xdr:row>
      <xdr:rowOff>28575</xdr:rowOff>
    </xdr:from>
    <xdr:to>
      <xdr:col>5</xdr:col>
      <xdr:colOff>1133475</xdr:colOff>
      <xdr:row>40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Categoria">
              <a:extLst>
                <a:ext uri="{FF2B5EF4-FFF2-40B4-BE49-F238E27FC236}">
                  <a16:creationId xmlns:a16="http://schemas.microsoft.com/office/drawing/2014/main" id="{0A6D243B-6EF4-C35B-956E-903E41B345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38775" y="6696075"/>
              <a:ext cx="1828800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381000</xdr:colOff>
      <xdr:row>54</xdr:row>
      <xdr:rowOff>180975</xdr:rowOff>
    </xdr:from>
    <xdr:to>
      <xdr:col>5</xdr:col>
      <xdr:colOff>1152525</xdr:colOff>
      <xdr:row>61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Ciudad_Cliente">
              <a:extLst>
                <a:ext uri="{FF2B5EF4-FFF2-40B4-BE49-F238E27FC236}">
                  <a16:creationId xmlns:a16="http://schemas.microsoft.com/office/drawing/2014/main" id="{E226C5D2-CCB7-96B3-F4FB-06C0C7B7B8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_Clien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57825" y="10467975"/>
              <a:ext cx="1828800" cy="1209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66675</xdr:colOff>
      <xdr:row>9</xdr:row>
      <xdr:rowOff>114301</xdr:rowOff>
    </xdr:from>
    <xdr:to>
      <xdr:col>4</xdr:col>
      <xdr:colOff>400050</xdr:colOff>
      <xdr:row>21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FF43C0B-7C42-448B-A64A-82593230E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547688</xdr:colOff>
      <xdr:row>9</xdr:row>
      <xdr:rowOff>114300</xdr:rowOff>
    </xdr:from>
    <xdr:to>
      <xdr:col>9</xdr:col>
      <xdr:colOff>576263</xdr:colOff>
      <xdr:row>21</xdr:row>
      <xdr:rowOff>114300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5702FAE-3D88-41FE-B0C6-46AC1BD19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723900</xdr:colOff>
      <xdr:row>9</xdr:row>
      <xdr:rowOff>114300</xdr:rowOff>
    </xdr:from>
    <xdr:to>
      <xdr:col>13</xdr:col>
      <xdr:colOff>1438275</xdr:colOff>
      <xdr:row>21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1E01DEB-7B30-4F89-8DCD-6ADF1EA80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9525</xdr:colOff>
      <xdr:row>2</xdr:row>
      <xdr:rowOff>180975</xdr:rowOff>
    </xdr:from>
    <xdr:to>
      <xdr:col>5</xdr:col>
      <xdr:colOff>666750</xdr:colOff>
      <xdr:row>7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tegoria 1">
              <a:extLst>
                <a:ext uri="{FF2B5EF4-FFF2-40B4-BE49-F238E27FC236}">
                  <a16:creationId xmlns:a16="http://schemas.microsoft.com/office/drawing/2014/main" id="{296AAC00-BE8F-4451-BD8F-A022F9318B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10100" y="638175"/>
              <a:ext cx="1419225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28576</xdr:colOff>
      <xdr:row>3</xdr:row>
      <xdr:rowOff>0</xdr:rowOff>
    </xdr:from>
    <xdr:to>
      <xdr:col>7</xdr:col>
      <xdr:colOff>600076</xdr:colOff>
      <xdr:row>8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Vendedor 1">
              <a:extLst>
                <a:ext uri="{FF2B5EF4-FFF2-40B4-BE49-F238E27FC236}">
                  <a16:creationId xmlns:a16="http://schemas.microsoft.com/office/drawing/2014/main" id="{5FBCFC5D-3F83-45A0-9244-B0FB8B1805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53151" y="647700"/>
              <a:ext cx="1333500" cy="1190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9525</xdr:colOff>
      <xdr:row>3</xdr:row>
      <xdr:rowOff>1</xdr:rowOff>
    </xdr:from>
    <xdr:to>
      <xdr:col>9</xdr:col>
      <xdr:colOff>666750</xdr:colOff>
      <xdr:row>8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anal 2">
              <a:extLst>
                <a:ext uri="{FF2B5EF4-FFF2-40B4-BE49-F238E27FC236}">
                  <a16:creationId xmlns:a16="http://schemas.microsoft.com/office/drawing/2014/main" id="{34DF194B-712B-47BC-92B9-FC437C6F63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58100" y="647701"/>
              <a:ext cx="1419225" cy="11906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57150</xdr:colOff>
      <xdr:row>3</xdr:row>
      <xdr:rowOff>0</xdr:rowOff>
    </xdr:from>
    <xdr:to>
      <xdr:col>12</xdr:col>
      <xdr:colOff>209550</xdr:colOff>
      <xdr:row>8</xdr:row>
      <xdr:rowOff>161925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Ciudad_Cliente 1">
              <a:extLst>
                <a:ext uri="{FF2B5EF4-FFF2-40B4-BE49-F238E27FC236}">
                  <a16:creationId xmlns:a16="http://schemas.microsoft.com/office/drawing/2014/main" id="{F3BBEDB3-4F02-4238-B296-06E4987459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_Clien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229725" y="647700"/>
              <a:ext cx="1438275" cy="1209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4</xdr:col>
      <xdr:colOff>409575</xdr:colOff>
      <xdr:row>0</xdr:row>
      <xdr:rowOff>142875</xdr:rowOff>
    </xdr:from>
    <xdr:to>
      <xdr:col>9</xdr:col>
      <xdr:colOff>342900</xdr:colOff>
      <xdr:row>2</xdr:row>
      <xdr:rowOff>28575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A6BE4CFB-DF05-889A-FB51-46A48E1A1FE2}"/>
            </a:ext>
          </a:extLst>
        </xdr:cNvPr>
        <xdr:cNvSpPr txBox="1"/>
      </xdr:nvSpPr>
      <xdr:spPr>
        <a:xfrm>
          <a:off x="5010150" y="142875"/>
          <a:ext cx="3743325" cy="342900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>
              <a:solidFill>
                <a:schemeClr val="bg1"/>
              </a:solidFill>
            </a:rPr>
            <a:t>ANÁLISIS DE VENTAS 2024</a:t>
          </a:r>
        </a:p>
      </xdr:txBody>
    </xdr:sp>
    <xdr:clientData/>
  </xdr:twoCellAnchor>
  <xdr:twoCellAnchor>
    <xdr:from>
      <xdr:col>0</xdr:col>
      <xdr:colOff>514350</xdr:colOff>
      <xdr:row>0</xdr:row>
      <xdr:rowOff>228600</xdr:rowOff>
    </xdr:from>
    <xdr:to>
      <xdr:col>1</xdr:col>
      <xdr:colOff>1192350</xdr:colOff>
      <xdr:row>4</xdr:row>
      <xdr:rowOff>38100</xdr:rowOff>
    </xdr:to>
    <xdr:sp macro="" textlink="Analisis!B2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9CA0A7D1-C0D8-ADB8-031F-713A39F05EFB}"/>
            </a:ext>
          </a:extLst>
        </xdr:cNvPr>
        <xdr:cNvSpPr/>
      </xdr:nvSpPr>
      <xdr:spPr>
        <a:xfrm>
          <a:off x="514350" y="228600"/>
          <a:ext cx="1440000" cy="676275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Ventas Totales</a:t>
          </a:r>
        </a:p>
        <a:p>
          <a:pPr algn="ctr"/>
          <a:fld id="{72D3EE11-50CD-4772-A4F3-D05AD0417DBD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$ 88,800</a:t>
          </a:fld>
          <a:endParaRPr lang="es-CO" sz="2000"/>
        </a:p>
      </xdr:txBody>
    </xdr:sp>
    <xdr:clientData/>
  </xdr:twoCellAnchor>
  <xdr:twoCellAnchor>
    <xdr:from>
      <xdr:col>1</xdr:col>
      <xdr:colOff>1343025</xdr:colOff>
      <xdr:row>0</xdr:row>
      <xdr:rowOff>228600</xdr:rowOff>
    </xdr:from>
    <xdr:to>
      <xdr:col>2</xdr:col>
      <xdr:colOff>1354275</xdr:colOff>
      <xdr:row>4</xdr:row>
      <xdr:rowOff>38100</xdr:rowOff>
    </xdr:to>
    <xdr:sp macro="" textlink="Analisis!B5">
      <xdr:nvSpPr>
        <xdr:cNvPr id="11" name="Rectángulo: esquinas redondeadas 10">
          <a:extLst>
            <a:ext uri="{FF2B5EF4-FFF2-40B4-BE49-F238E27FC236}">
              <a16:creationId xmlns:a16="http://schemas.microsoft.com/office/drawing/2014/main" id="{8D00C47B-BF94-4EF6-BF11-7F866B04BDBA}"/>
            </a:ext>
          </a:extLst>
        </xdr:cNvPr>
        <xdr:cNvSpPr/>
      </xdr:nvSpPr>
      <xdr:spPr>
        <a:xfrm>
          <a:off x="2105025" y="228600"/>
          <a:ext cx="1440000" cy="676275"/>
        </a:xfrm>
        <a:prstGeom prst="roundRect">
          <a:avLst/>
        </a:prstGeom>
        <a:solidFill>
          <a:sysClr val="window" lastClr="FFFFFF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Ticket Promedio</a:t>
          </a:r>
        </a:p>
        <a:p>
          <a:pPr algn="ctr"/>
          <a:fld id="{687C1C76-59D1-4155-808D-251692B08C72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t>$ 14,800</a:t>
          </a:fld>
          <a:endParaRPr lang="es-CO" sz="2000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514350</xdr:colOff>
      <xdr:row>5</xdr:row>
      <xdr:rowOff>9525</xdr:rowOff>
    </xdr:from>
    <xdr:to>
      <xdr:col>1</xdr:col>
      <xdr:colOff>1192350</xdr:colOff>
      <xdr:row>8</xdr:row>
      <xdr:rowOff>76200</xdr:rowOff>
    </xdr:to>
    <xdr:sp macro="" textlink="Analisis!B3">
      <xdr:nvSpPr>
        <xdr:cNvPr id="12" name="Rectángulo: esquinas redondeadas 11">
          <a:extLst>
            <a:ext uri="{FF2B5EF4-FFF2-40B4-BE49-F238E27FC236}">
              <a16:creationId xmlns:a16="http://schemas.microsoft.com/office/drawing/2014/main" id="{8C535E7F-4779-4DED-94A7-2F99B3A67B73}"/>
            </a:ext>
          </a:extLst>
        </xdr:cNvPr>
        <xdr:cNvSpPr/>
      </xdr:nvSpPr>
      <xdr:spPr>
        <a:xfrm>
          <a:off x="514350" y="1095375"/>
          <a:ext cx="1440000" cy="676275"/>
        </a:xfrm>
        <a:prstGeom prst="roundRect">
          <a:avLst/>
        </a:prstGeom>
        <a:solidFill>
          <a:sysClr val="window" lastClr="FFFFFF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Total Comisiones</a:t>
          </a:r>
        </a:p>
        <a:p>
          <a:pPr algn="ctr"/>
          <a:fld id="{BDF1D646-3D49-4949-A173-C7CEB5A0BFEE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t>5742</a:t>
          </a:fld>
          <a:endParaRPr lang="es-CO" sz="40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1352549</xdr:colOff>
      <xdr:row>5</xdr:row>
      <xdr:rowOff>9525</xdr:rowOff>
    </xdr:from>
    <xdr:to>
      <xdr:col>2</xdr:col>
      <xdr:colOff>1362075</xdr:colOff>
      <xdr:row>8</xdr:row>
      <xdr:rowOff>76200</xdr:rowOff>
    </xdr:to>
    <xdr:sp macro="" textlink="Analisis!B6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DE94B26C-8B8A-49DB-839E-40C15D6F65F2}"/>
            </a:ext>
          </a:extLst>
        </xdr:cNvPr>
        <xdr:cNvSpPr/>
      </xdr:nvSpPr>
      <xdr:spPr>
        <a:xfrm>
          <a:off x="2114549" y="1095375"/>
          <a:ext cx="1438276" cy="676275"/>
        </a:xfrm>
        <a:prstGeom prst="roundRect">
          <a:avLst/>
        </a:prstGeom>
        <a:solidFill>
          <a:sysClr val="window" lastClr="FFFFFF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% Cumpliento Meta</a:t>
          </a:r>
        </a:p>
        <a:p>
          <a:pPr algn="ctr"/>
          <a:fld id="{B8AA38AA-A340-4A43-B405-2ACE4F5FB692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t>112.4%</a:t>
          </a:fld>
          <a:endParaRPr lang="en-US" sz="1100" b="0" i="0" u="none" strike="noStrike">
            <a:solidFill>
              <a:srgbClr val="000000"/>
            </a:solidFill>
            <a:latin typeface="Calibri"/>
            <a:cs typeface="Calibri"/>
          </a:endParaRPr>
        </a:p>
      </xdr:txBody>
    </xdr: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0.35696</cdr:x>
      <cdr:y>0.44398</cdr:y>
    </cdr:from>
    <cdr:to>
      <cdr:x>0.6481</cdr:x>
      <cdr:y>0.68465</cdr:y>
    </cdr:to>
    <cdr:sp macro="" textlink="Analisis!$B$2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8F5193B5-F250-7534-992D-46F009A0EB90}"/>
            </a:ext>
          </a:extLst>
        </cdr:cNvPr>
        <cdr:cNvSpPr txBox="1"/>
      </cdr:nvSpPr>
      <cdr:spPr>
        <a:xfrm xmlns:a="http://schemas.openxmlformats.org/drawingml/2006/main">
          <a:off x="1343030" y="1019170"/>
          <a:ext cx="1095378" cy="55245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fld id="{FB06B89B-FED8-4410-AC78-CABE16CD6017}" type="TxLink">
            <a:rPr lang="en-US" sz="1600" b="0" i="0" u="none" strike="noStrike" kern="1200">
              <a:solidFill>
                <a:srgbClr val="000000"/>
              </a:solidFill>
              <a:latin typeface="Calibri"/>
              <a:cs typeface="Calibri"/>
            </a:rPr>
            <a:pPr algn="ctr"/>
            <a:t>$ 88,800</a:t>
          </a:fld>
          <a:endParaRPr lang="en-US" sz="1600" b="0" i="0" u="none" strike="noStrike" kern="1200">
            <a:solidFill>
              <a:srgbClr val="000000"/>
            </a:solidFill>
            <a:latin typeface="Calibri"/>
            <a:cs typeface="Calibri"/>
          </a:endParaRPr>
        </a:p>
        <a:p xmlns:a="http://schemas.openxmlformats.org/drawingml/2006/main">
          <a:pPr algn="ctr"/>
          <a:r>
            <a:rPr lang="en-US" sz="1100" b="0" i="0" u="none" strike="noStrike" kern="1200">
              <a:solidFill>
                <a:srgbClr val="000000"/>
              </a:solidFill>
              <a:latin typeface="Calibri"/>
              <a:cs typeface="Calibri"/>
            </a:rPr>
            <a:t>Ventas Totales</a:t>
          </a:r>
          <a:endParaRPr lang="es-CO" sz="1000" b="1" kern="12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infferson B" refreshedDate="46062.581010532405" createdVersion="8" refreshedVersion="8" minRefreshableVersion="3" recordCount="6" xr:uid="{BD0C2A9B-79B2-47CB-A8E6-DE14BF5EA00E}">
  <cacheSource type="worksheet">
    <worksheetSource name="tbl_Ventas"/>
  </cacheSource>
  <cacheFields count="15">
    <cacheField name="Fecha" numFmtId="14">
      <sharedItems containsSemiMixedTypes="0" containsNonDate="0" containsDate="1" containsString="0" minDate="2024-01-05T00:00:00" maxDate="2024-01-10T00:00:00"/>
    </cacheField>
    <cacheField name="Nombre_Cliente" numFmtId="49">
      <sharedItems/>
    </cacheField>
    <cacheField name="Vendedor" numFmtId="0">
      <sharedItems count="3">
        <s v="Carlos"/>
        <s v="Diana"/>
        <s v="Andrés"/>
      </sharedItems>
    </cacheField>
    <cacheField name="Ciudad_Cliente" numFmtId="0">
      <sharedItems count="3">
        <s v="Bogotá"/>
        <s v="Medellín"/>
        <s v="Cali"/>
      </sharedItems>
    </cacheField>
    <cacheField name="Canal" numFmtId="0">
      <sharedItems count="3">
        <s v="Tienda"/>
        <s v="Online"/>
        <s v="Mayorista"/>
      </sharedItems>
    </cacheField>
    <cacheField name="Cantidad" numFmtId="0">
      <sharedItems containsSemiMixedTypes="0" containsString="0" containsNumber="1" containsInteger="1" minValue="2" maxValue="24"/>
    </cacheField>
    <cacheField name="Producto" numFmtId="0">
      <sharedItems/>
    </cacheField>
    <cacheField name="Categoria" numFmtId="0">
      <sharedItems count="2">
        <s v="Muebles"/>
        <s v="Tecnología"/>
      </sharedItems>
    </cacheField>
    <cacheField name="Precio_Unitario" numFmtId="0">
      <sharedItems containsSemiMixedTypes="0" containsString="0" containsNumber="1" containsInteger="1" minValue="300" maxValue="2500"/>
    </cacheField>
    <cacheField name="Total_Ventas" numFmtId="0">
      <sharedItems containsSemiMixedTypes="0" containsString="0" containsNumber="1" containsInteger="1" minValue="1800" maxValue="60000"/>
    </cacheField>
    <cacheField name="Tipo_Venta" numFmtId="0">
      <sharedItems/>
    </cacheField>
    <cacheField name="Comision" numFmtId="0">
      <sharedItems containsSemiMixedTypes="0" containsString="0" containsNumber="1" containsInteger="1" minValue="162" maxValue="3600"/>
    </cacheField>
    <cacheField name="Zona" numFmtId="0">
      <sharedItems/>
    </cacheField>
    <cacheField name="Meta_Vendedor" numFmtId="0">
      <sharedItems containsSemiMixedTypes="0" containsString="0" containsNumber="1" containsInteger="1" minValue="10000" maxValue="15000"/>
    </cacheField>
    <cacheField name="Margen" numFmtId="0" formula="Total_Ventas*0.2" databaseField="0"/>
  </cacheFields>
  <extLst>
    <ext xmlns:x14="http://schemas.microsoft.com/office/spreadsheetml/2009/9/main" uri="{725AE2AE-9491-48be-B2B4-4EB974FC3084}">
      <x14:pivotCacheDefinition pivotCacheId="195089723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d v="2024-01-05T00:00:00"/>
    <s v="Ana Gómez "/>
    <x v="0"/>
    <x v="0"/>
    <x v="0"/>
    <n v="2"/>
    <s v="Escritorio"/>
    <x v="0"/>
    <n v="900"/>
    <n v="1800"/>
    <s v="Media"/>
    <n v="162"/>
    <s v="Centro"/>
    <n v="15000"/>
  </r>
  <r>
    <d v="2024-01-06T00:00:00"/>
    <s v="Luis Pérez "/>
    <x v="1"/>
    <x v="1"/>
    <x v="0"/>
    <n v="3"/>
    <s v="Laptop"/>
    <x v="1"/>
    <n v="2500"/>
    <n v="7500"/>
    <s v="Alta"/>
    <n v="450"/>
    <s v="Norte"/>
    <n v="12000"/>
  </r>
  <r>
    <d v="2024-01-06T00:00:00"/>
    <s v="Ana Gómez "/>
    <x v="0"/>
    <x v="0"/>
    <x v="1"/>
    <n v="24"/>
    <s v="Laptop"/>
    <x v="1"/>
    <n v="2500"/>
    <n v="60000"/>
    <s v="Alta"/>
    <n v="3600"/>
    <s v="Centro"/>
    <n v="15000"/>
  </r>
  <r>
    <d v="2024-01-07T00:00:00"/>
    <s v="Juan Ruiz "/>
    <x v="2"/>
    <x v="2"/>
    <x v="2"/>
    <n v="8"/>
    <s v="Escritorio"/>
    <x v="0"/>
    <n v="900"/>
    <n v="7200"/>
    <s v="Alta"/>
    <n v="648"/>
    <s v="Sur"/>
    <n v="10000"/>
  </r>
  <r>
    <d v="2024-01-08T00:00:00"/>
    <s v="Laura Díaz "/>
    <x v="0"/>
    <x v="0"/>
    <x v="1"/>
    <n v="16"/>
    <s v="Silla"/>
    <x v="0"/>
    <n v="300"/>
    <n v="4800"/>
    <s v="Alta"/>
    <n v="432"/>
    <s v="Centro"/>
    <n v="15000"/>
  </r>
  <r>
    <d v="2024-01-09T00:00:00"/>
    <s v="Daniel Saenz"/>
    <x v="1"/>
    <x v="1"/>
    <x v="0"/>
    <n v="3"/>
    <s v="Laptop"/>
    <x v="1"/>
    <n v="2500"/>
    <n v="7500"/>
    <s v="Alta"/>
    <n v="450"/>
    <s v="Norte"/>
    <n v="1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B9D872-E7D2-478B-B3B4-BF0E872D0C93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70:B74" firstHeaderRow="1" firstDataRow="1" firstDataCol="1"/>
  <pivotFields count="15">
    <pivotField numFmtId="14"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4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Suma de Total_Ventas" fld="9" showDataAs="percentOfTotal" baseField="4" baseItem="0" numFmtId="1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B64918-61D5-4DCB-943D-2111D1AA811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48:C52" firstHeaderRow="0" firstDataRow="1" firstDataCol="1"/>
  <pivotFields count="15">
    <pivotField numFmtId="14" showAll="0"/>
    <pivotField showAll="0"/>
    <pivotField axis="axisRow" showAll="0" sortType="descending">
      <items count="4"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">
        <item x="0"/>
        <item x="2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2"/>
  </rowFields>
  <rowItems count="4">
    <i>
      <x v="1"/>
    </i>
    <i>
      <x v="2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Total_de_Ventas" fld="9" baseField="2" baseItem="1"/>
    <dataField name="Margen_Ganancia" fld="14" baseField="2" baseItem="1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A86CF-E7E4-4661-90C6-08D2054DA74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A28:B31" firstHeaderRow="1" firstDataRow="1" firstDataCol="1"/>
  <pivotFields count="15">
    <pivotField numFmtId="14"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Suma de Total_Ventas" fld="9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D9401C-0867-4023-8396-216647198446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I8" firstHeaderRow="1" firstDataRow="3" firstDataCol="1"/>
  <pivotFields count="15">
    <pivotField numFmtId="14"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Col" showAll="0">
      <items count="4">
        <item x="2"/>
        <item x="1"/>
        <item x="0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7"/>
  </rowFields>
  <rowItems count="3">
    <i>
      <x/>
    </i>
    <i>
      <x v="1"/>
    </i>
    <i t="grand">
      <x/>
    </i>
  </rowItems>
  <colFields count="2">
    <field x="4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a de Total_Ventas" fld="9" baseField="0" baseItem="0"/>
    <dataField name="Suma de Margen" fld="14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0" format="6" series="1">
      <pivotArea type="data" grandCol="1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grandCol="1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1" xr10:uid="{6428AF16-56FC-47F6-8679-261566D1759D}" sourceName="Canal">
  <pivotTables>
    <pivotTable tabId="8" name="TablaDinámica4"/>
    <pivotTable tabId="8" name="TablaDinámica1"/>
    <pivotTable tabId="8" name="TablaDinámica2"/>
    <pivotTable tabId="8" name="TablaDinámica3"/>
  </pivotTables>
  <data>
    <tabular pivotCacheId="1950897236">
      <items count="3">
        <i x="2" s="1"/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Vendedor" xr10:uid="{AF6E10E0-1602-4482-8F8B-BDE40C5B7C35}" sourceName="Vendedor">
  <pivotTables>
    <pivotTable tabId="8" name="TablaDinámica3"/>
    <pivotTable tabId="8" name="TablaDinámica1"/>
    <pivotTable tabId="8" name="TablaDinámica2"/>
    <pivotTable tabId="8" name="TablaDinámica4"/>
  </pivotTables>
  <data>
    <tabular pivotCacheId="1950897236">
      <items count="3">
        <i x="2" s="1"/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5546E5AE-7991-45F3-A890-1A50B79B4556}" sourceName="Categoria">
  <pivotTables>
    <pivotTable tabId="8" name="TablaDinámica2"/>
    <pivotTable tabId="8" name="TablaDinámica1"/>
    <pivotTable tabId="8" name="TablaDinámica3"/>
    <pivotTable tabId="8" name="TablaDinámica4"/>
  </pivotTables>
  <data>
    <tabular pivotCacheId="1950897236">
      <items count="2"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udad_Cliente" xr10:uid="{D6E9CD0B-B8D7-4122-B307-4B1FD792A75C}" sourceName="Ciudad_Cliente">
  <pivotTables>
    <pivotTable tabId="8" name="TablaDinámica3"/>
    <pivotTable tabId="8" name="TablaDinámica1"/>
    <pivotTable tabId="8" name="TablaDinámica2"/>
    <pivotTable tabId="8" name="TablaDinámica4"/>
  </pivotTables>
  <data>
    <tabular pivotCacheId="1950897236">
      <items count="3">
        <i x="0" s="1"/>
        <i x="2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nal 1" xr10:uid="{1B94EE67-207A-48ED-B233-03BB10B431B6}" cache="SegmentaciónDeDatos_Canal1" caption="Canal" rowHeight="241300"/>
  <slicer name="Vendedor" xr10:uid="{7FDFF949-029F-46E1-8826-BE1472EC294B}" cache="SegmentaciónDeDatos_Vendedor" caption="Vendedor" rowHeight="241300"/>
  <slicer name="Categoria" xr10:uid="{8AE9F281-67D4-490E-B273-190C976E46A3}" cache="SegmentaciónDeDatos_Categoria" caption="Categoria" rowHeight="241300"/>
  <slicer name="Ciudad_Cliente" xr10:uid="{21E693D7-C638-4413-AA45-1729F6E0D302}" cache="SegmentaciónDeDatos_Ciudad_Cliente" caption="Ciudad_Cliente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nal 2" xr10:uid="{66948C24-1FD8-44FD-8646-6DF55DC92FF8}" cache="SegmentaciónDeDatos_Canal1" caption="Canal" style="SlicerStyleLight3" rowHeight="241300"/>
  <slicer name="Vendedor 1" xr10:uid="{DD2D11A1-A034-4308-8F51-148FE0E2D644}" cache="SegmentaciónDeDatos_Vendedor" caption="Vendedor" style="SlicerStyleLight3" rowHeight="241300"/>
  <slicer name="Categoria 1" xr10:uid="{5A88A70B-DF1A-4EFF-81DE-E7C930A6484A}" cache="SegmentaciónDeDatos_Categoria" caption="Categoria" style="SlicerStyleLight3" rowHeight="241300"/>
  <slicer name="Ciudad_Cliente 1" xr10:uid="{DFD84570-663B-4585-8462-B8623B5639A4}" cache="SegmentaciónDeDatos_Ciudad_Cliente" caption="Ciudad_Cliente" style="SlicerStyleLight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F5F690-9516-436E-95BD-879E016B9934}" name="tbl_Ventas" displayName="tbl_Ventas" ref="B1:O7" totalsRowShown="0" headerRowDxfId="19">
  <autoFilter ref="B1:O7" xr:uid="{D6F5F690-9516-436E-95BD-879E016B9934}"/>
  <tableColumns count="14">
    <tableColumn id="1" xr3:uid="{F686120E-3EBE-4819-A4C9-C5C19E7694D8}" name="Fecha" dataDxfId="18"/>
    <tableColumn id="2" xr3:uid="{57EC154B-AFCA-4F28-B2A5-1B3D4A522B8B}" name="Nombre_Cliente" dataDxfId="17"/>
    <tableColumn id="3" xr3:uid="{20842C38-4314-4C04-AF5D-57B781570431}" name="Vendedor" dataDxfId="16"/>
    <tableColumn id="4" xr3:uid="{1AFF7737-AC16-446D-9C38-30E465477779}" name="Ciudad_Cliente" dataDxfId="15"/>
    <tableColumn id="5" xr3:uid="{EA20E595-DFA8-44EF-A492-70AF7EF4F681}" name="Canal" dataDxfId="14"/>
    <tableColumn id="6" xr3:uid="{31392976-848E-4F0B-A479-313941522E30}" name="Cantidad" dataDxfId="13"/>
    <tableColumn id="7" xr3:uid="{AB4AD0D6-5E87-4A7E-80FC-48B981701FAA}" name="Producto" dataDxfId="12"/>
    <tableColumn id="8" xr3:uid="{E06E2179-40BA-4901-AD67-FAFB8D91FBED}" name="Categoria">
      <calculatedColumnFormula>INDEX(tbl_Productos[Categoría],MATCH(H2,tbl_Productos[Producto],0))</calculatedColumnFormula>
    </tableColumn>
    <tableColumn id="9" xr3:uid="{D3212D4F-59A2-48A6-8057-EBEBA9203DCE}" name="Precio_Unitario" dataDxfId="11">
      <calculatedColumnFormula>VLOOKUP(H2,tbl_Productos[],3,)</calculatedColumnFormula>
    </tableColumn>
    <tableColumn id="10" xr3:uid="{7CB75159-24DA-4A4C-9DAF-3AE32704ED63}" name="Total_Ventas">
      <calculatedColumnFormula>G2*J2</calculatedColumnFormula>
    </tableColumn>
    <tableColumn id="11" xr3:uid="{B5544080-13D2-4A98-95DF-379B03718646}" name="Tipo_Venta">
      <calculatedColumnFormula>IF(K2&gt;3000,"Alta",IF(K2&gt;1000,"Media","Baja"))</calculatedColumnFormula>
    </tableColumn>
    <tableColumn id="12" xr3:uid="{399A87D0-4824-4329-952D-CC75DFF83E05}" name="Comision">
      <calculatedColumnFormula>K2*INDEX(tbl_Comisiones[PCT_comision],MATCH(I2,tbl_Comisiones[Categoria],0))</calculatedColumnFormula>
    </tableColumn>
    <tableColumn id="13" xr3:uid="{1A1086B1-0BD1-4BD9-A404-93F4C1AC34D0}" name="Zona">
      <calculatedColumnFormula>INDEX(tbl_vendedores[Zona],MATCH(D2,tbl_vendedores[Vendedor],0))</calculatedColumnFormula>
    </tableColumn>
    <tableColumn id="14" xr3:uid="{BD611D99-B9E1-40BF-94B3-E643EB1E72FD}" name="Meta_Vendedor">
      <calculatedColumnFormula>HLOOKUP(D2,Catalogos!$E$1:$H$2,2,FALSE)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10" dataDxfId="9">
  <autoFilter ref="A1:C5" xr:uid="{A92B6507-4B6A-4B49-B413-87F7A39C07E3}"/>
  <tableColumns count="3">
    <tableColumn id="1" xr3:uid="{C55A325D-7BD6-49AC-B11E-EDF0A27B1C16}" name="Producto" dataDxfId="8"/>
    <tableColumn id="2" xr3:uid="{A0FFE583-A718-487D-81FE-9C07633F39F7}" name="Categoría" dataDxfId="7"/>
    <tableColumn id="3" xr3:uid="{9177BD52-4EA4-494A-BEA0-D32F3FBB1A94}" name="Precio_Unitario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F104-6185-481B-AA84-21DBA956BF27}" name="tbl_Comisiones" displayName="tbl_Comisiones" ref="A1:B3" totalsRowShown="0">
  <autoFilter ref="A1:B3" xr:uid="{24C3F104-6185-481B-AA84-21DBA956BF27}"/>
  <tableColumns count="2">
    <tableColumn id="1" xr3:uid="{DD42696A-07B4-4869-A763-37E5E23B3AE4}" name="Categoria"/>
    <tableColumn id="2" xr3:uid="{5C2E5988-912F-4958-8B99-9C786FAB7FE9}" name="PCT_comis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766B5E-EE8D-46D2-AF07-6C940906BD4A}" name="tbl_vendedores" displayName="tbl_vendedores" ref="A1:B4" totalsRowShown="0" headerRowDxfId="5" dataDxfId="4">
  <autoFilter ref="A1:B4" xr:uid="{15766B5E-EE8D-46D2-AF07-6C940906BD4A}"/>
  <tableColumns count="2">
    <tableColumn id="1" xr3:uid="{18AD78C6-E525-46AB-B3FD-CD06CC0882AC}" name="Vendedor" dataDxfId="3"/>
    <tableColumn id="2" xr3:uid="{0E06197B-6A6B-416F-ACB8-12C41A75EC61}" name="Zona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7D8548-1181-4CAB-AACA-507982D8FBAD}" name="tbl_Canales" displayName="tbl_Canales" ref="E5:E8" totalsRowShown="0">
  <autoFilter ref="E5:E8" xr:uid="{BE7D8548-1181-4CAB-AACA-507982D8FBAD}"/>
  <tableColumns count="1">
    <tableColumn id="1" xr3:uid="{5F6C3D22-E61F-434E-847C-7C0E89D4801A}" name="Ca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O7"/>
  <sheetViews>
    <sheetView topLeftCell="B1" workbookViewId="0">
      <selection activeCell="C3" sqref="C3"/>
    </sheetView>
  </sheetViews>
  <sheetFormatPr baseColWidth="10" defaultRowHeight="15" x14ac:dyDescent="0.25"/>
  <cols>
    <col min="3" max="3" width="17.85546875" customWidth="1"/>
    <col min="4" max="4" width="12" customWidth="1"/>
    <col min="5" max="5" width="16.7109375" customWidth="1"/>
    <col min="9" max="9" width="11.5703125" customWidth="1"/>
    <col min="10" max="10" width="17" customWidth="1"/>
    <col min="11" max="11" width="14.7109375" customWidth="1"/>
    <col min="12" max="12" width="13.28515625" customWidth="1"/>
    <col min="15" max="15" width="17.7109375" customWidth="1"/>
  </cols>
  <sheetData>
    <row r="1" spans="1:15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  <c r="N1" s="1" t="s">
        <v>35</v>
      </c>
      <c r="O1" s="1" t="s">
        <v>40</v>
      </c>
    </row>
    <row r="2" spans="1:15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14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 t="shared" ref="K2:K7" si="0">G2*J2</f>
        <v>1800</v>
      </c>
      <c r="L2" t="str">
        <f>IF(K2&gt;3000,"Alta",IF(K2&gt;1000,"Media","Baja"))</f>
        <v>Media</v>
      </c>
      <c r="M2">
        <f>K2*INDEX(tbl_Comisiones[PCT_comision],MATCH(I2,tbl_Comisiones[Categoria],0))</f>
        <v>162</v>
      </c>
      <c r="N2" t="str">
        <f>INDEX(tbl_vendedores[Zona],MATCH(D2,tbl_vendedores[Vendedor],0))</f>
        <v>Centro</v>
      </c>
      <c r="O2">
        <f>HLOOKUP(D2,Catalogos!$E$1:$H$2,2,FALSE)</f>
        <v>15000</v>
      </c>
    </row>
    <row r="3" spans="1:15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 t="shared" si="0"/>
        <v>7500</v>
      </c>
      <c r="L3" t="str">
        <f t="shared" ref="L3:L6" si="1">IF(K3&gt;3000,"Alta",IF(K3&gt;1000,"Media","Baja"))</f>
        <v>Alta</v>
      </c>
      <c r="M3">
        <f>K3*INDEX(tbl_Comisiones[PCT_comision],MATCH(I3,tbl_Comisiones[Categoria],0))</f>
        <v>450</v>
      </c>
      <c r="N3" t="str">
        <f>INDEX(tbl_vendedores[Zona],MATCH(D3,tbl_vendedores[Vendedor],0))</f>
        <v>Norte</v>
      </c>
      <c r="O3">
        <f>HLOOKUP(D3,Catalogos!$E$1:$H$2,2,FALSE)</f>
        <v>12000</v>
      </c>
    </row>
    <row r="4" spans="1:15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29</v>
      </c>
      <c r="I4" t="str">
        <f>INDEX(tbl_Productos[Categoría],MATCH(H4,tbl_Productos[Producto],0))</f>
        <v>Tecnología</v>
      </c>
      <c r="J4" s="2">
        <f>VLOOKUP(H4,tbl_Productos[],3,)</f>
        <v>2500</v>
      </c>
      <c r="K4">
        <f t="shared" si="0"/>
        <v>60000</v>
      </c>
      <c r="L4" t="str">
        <f t="shared" si="1"/>
        <v>Alta</v>
      </c>
      <c r="M4">
        <f>K4*INDEX(tbl_Comisiones[PCT_comision],MATCH(I4,tbl_Comisiones[Categoria],0))</f>
        <v>3600</v>
      </c>
      <c r="N4" t="str">
        <f>INDEX(tbl_vendedores[Zona],MATCH(D4,tbl_vendedores[Vendedor],0))</f>
        <v>Centro</v>
      </c>
      <c r="O4">
        <f>HLOOKUP(D4,Catalogos!$E$1:$H$2,2,FALSE)</f>
        <v>15000</v>
      </c>
    </row>
    <row r="5" spans="1:15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41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 t="shared" si="0"/>
        <v>7200</v>
      </c>
      <c r="L5" t="str">
        <f t="shared" si="1"/>
        <v>Alta</v>
      </c>
      <c r="M5">
        <f>K5*INDEX(tbl_Comisiones[PCT_comision],MATCH(I5,tbl_Comisiones[Categoria],0))</f>
        <v>648</v>
      </c>
      <c r="N5" t="str">
        <f>INDEX(tbl_vendedores[Zona],MATCH(D5,tbl_vendedores[Vendedor],0))</f>
        <v>Sur</v>
      </c>
      <c r="O5">
        <f>HLOOKUP(D5,Catalogos!$E$1:$H$2,2,FALSE)</f>
        <v>10000</v>
      </c>
    </row>
    <row r="6" spans="1:15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 t="shared" si="0"/>
        <v>4800</v>
      </c>
      <c r="L6" t="str">
        <f t="shared" si="1"/>
        <v>Alta</v>
      </c>
      <c r="M6">
        <f>K6*INDEX(tbl_Comisiones[PCT_comision],MATCH(I6,tbl_Comisiones[Categoria],0))</f>
        <v>432</v>
      </c>
      <c r="N6" t="str">
        <f>INDEX(tbl_vendedores[Zona],MATCH(D6,tbl_vendedores[Vendedor],0))</f>
        <v>Centro</v>
      </c>
      <c r="O6">
        <f>HLOOKUP(D6,Catalogos!$E$1:$H$2,2,FALSE)</f>
        <v>15000</v>
      </c>
    </row>
    <row r="7" spans="1:15" x14ac:dyDescent="0.25">
      <c r="A7" s="2">
        <v>1006</v>
      </c>
      <c r="B7" s="3">
        <v>45300</v>
      </c>
      <c r="C7" s="5" t="s">
        <v>60</v>
      </c>
      <c r="D7" s="2" t="s">
        <v>12</v>
      </c>
      <c r="E7" s="2" t="s">
        <v>13</v>
      </c>
      <c r="F7" s="2" t="s">
        <v>14</v>
      </c>
      <c r="G7" s="2">
        <v>3</v>
      </c>
      <c r="H7" s="2" t="s">
        <v>29</v>
      </c>
      <c r="I7" t="str">
        <f>INDEX(tbl_Productos[Categoría],MATCH(H7,tbl_Productos[Producto],0))</f>
        <v>Tecnología</v>
      </c>
      <c r="J7" s="2">
        <f>VLOOKUP(H7,tbl_Productos[],3,)</f>
        <v>2500</v>
      </c>
      <c r="K7">
        <f t="shared" si="0"/>
        <v>7500</v>
      </c>
      <c r="L7" t="str">
        <f>IF(K7&gt;3000,"Alta",IF(K7&gt;1000,"Media","Baja"))</f>
        <v>Alta</v>
      </c>
      <c r="M7">
        <f>K7*INDEX(tbl_Comisiones[PCT_comision],MATCH(I7,tbl_Comisiones[Categoria],0))</f>
        <v>450</v>
      </c>
      <c r="N7" t="str">
        <f>INDEX(tbl_vendedores[Zona],MATCH(D7,tbl_vendedores[Vendedor],0))</f>
        <v>Norte</v>
      </c>
      <c r="O7">
        <f>HLOOKUP(D7,Catalogos!$E$1:$H$2,2,FALSE)</f>
        <v>12000</v>
      </c>
    </row>
  </sheetData>
  <dataValidations count="1">
    <dataValidation type="whole" allowBlank="1" showInputMessage="1" showErrorMessage="1" sqref="G2:G7" xr:uid="{56A338E2-FAA5-4BDE-8A62-271F32D614C1}">
      <formula1>1</formula1>
      <formula2>1000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866A43A-292A-423D-A39B-46379CB8812C}">
          <x14:formula1>
            <xm:f>Productos!$A$2:$A$5</xm:f>
          </x14:formula1>
          <xm:sqref>H2:H7</xm:sqref>
        </x14:dataValidation>
        <x14:dataValidation type="list" allowBlank="1" showInputMessage="1" showErrorMessage="1" xr:uid="{692AEB86-420E-41B6-B0B2-2AD614ECE2C1}">
          <x14:formula1>
            <xm:f>Catalogos!$E$6:$E$8</xm:f>
          </x14:formula1>
          <xm:sqref>F2:F7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243-4D18-4DBF-ACF7-2A506EF364F7}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11.5703125" customWidth="1"/>
    <col min="2" max="2" width="15.42578125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8</v>
      </c>
      <c r="B2">
        <v>0.06</v>
      </c>
    </row>
    <row r="3" spans="1:2" x14ac:dyDescent="0.25">
      <c r="A3" t="s">
        <v>15</v>
      </c>
      <c r="B3">
        <v>0.09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1B8E-3674-4B50-89DF-9570360BEBAA}">
  <dimension ref="A1:H8"/>
  <sheetViews>
    <sheetView workbookViewId="0">
      <selection activeCell="F3" sqref="F3"/>
    </sheetView>
  </sheetViews>
  <sheetFormatPr baseColWidth="10" defaultRowHeight="15" x14ac:dyDescent="0.25"/>
  <cols>
    <col min="1" max="1" width="15.28515625" customWidth="1"/>
    <col min="5" max="5" width="15.28515625" customWidth="1"/>
  </cols>
  <sheetData>
    <row r="1" spans="1:8" x14ac:dyDescent="0.25">
      <c r="A1" s="1" t="s">
        <v>3</v>
      </c>
      <c r="B1" s="1" t="s">
        <v>35</v>
      </c>
      <c r="E1" s="1"/>
      <c r="F1" s="1" t="s">
        <v>9</v>
      </c>
      <c r="G1" s="1" t="s">
        <v>12</v>
      </c>
      <c r="H1" s="1" t="s">
        <v>16</v>
      </c>
    </row>
    <row r="2" spans="1:8" ht="17.25" customHeight="1" x14ac:dyDescent="0.25">
      <c r="A2" s="2" t="s">
        <v>9</v>
      </c>
      <c r="B2" s="2" t="s">
        <v>36</v>
      </c>
      <c r="E2" s="2" t="s">
        <v>39</v>
      </c>
      <c r="F2" s="2">
        <v>15000</v>
      </c>
      <c r="G2" s="2">
        <v>12000</v>
      </c>
      <c r="H2" s="2">
        <v>10000</v>
      </c>
    </row>
    <row r="3" spans="1:8" x14ac:dyDescent="0.25">
      <c r="A3" s="2" t="s">
        <v>12</v>
      </c>
      <c r="B3" s="2" t="s">
        <v>37</v>
      </c>
    </row>
    <row r="4" spans="1:8" x14ac:dyDescent="0.25">
      <c r="A4" s="2" t="s">
        <v>16</v>
      </c>
      <c r="B4" s="2" t="s">
        <v>38</v>
      </c>
    </row>
    <row r="5" spans="1:8" x14ac:dyDescent="0.25">
      <c r="E5" t="s">
        <v>5</v>
      </c>
    </row>
    <row r="6" spans="1:8" x14ac:dyDescent="0.25">
      <c r="E6" t="s">
        <v>11</v>
      </c>
    </row>
    <row r="7" spans="1:8" x14ac:dyDescent="0.25">
      <c r="E7" t="s">
        <v>14</v>
      </c>
    </row>
    <row r="8" spans="1:8" x14ac:dyDescent="0.25">
      <c r="E8" t="s">
        <v>41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D6B31-8C4D-400A-89C4-83AC6B681457}">
  <dimension ref="A1:M9"/>
  <sheetViews>
    <sheetView workbookViewId="0">
      <selection activeCell="B7" sqref="B7"/>
    </sheetView>
  </sheetViews>
  <sheetFormatPr baseColWidth="10" defaultRowHeight="15" x14ac:dyDescent="0.25"/>
  <cols>
    <col min="1" max="1" width="22.7109375" customWidth="1"/>
    <col min="2" max="2" width="11.85546875" bestFit="1" customWidth="1"/>
    <col min="12" max="12" width="17.5703125" customWidth="1"/>
    <col min="13" max="13" width="15.85546875" customWidth="1"/>
  </cols>
  <sheetData>
    <row r="1" spans="1:13" x14ac:dyDescent="0.25">
      <c r="A1" s="1" t="s">
        <v>42</v>
      </c>
      <c r="B1" s="1" t="s">
        <v>43</v>
      </c>
    </row>
    <row r="2" spans="1:13" ht="17.25" customHeight="1" x14ac:dyDescent="0.25">
      <c r="A2" s="2" t="s">
        <v>44</v>
      </c>
      <c r="B2" s="18">
        <f>SUM(tbl_Ventas[Total_Ventas])</f>
        <v>88800</v>
      </c>
      <c r="E2" s="1" t="s">
        <v>2</v>
      </c>
      <c r="F2" s="1" t="s">
        <v>48</v>
      </c>
      <c r="I2" s="1" t="s">
        <v>3</v>
      </c>
      <c r="J2" s="1" t="s">
        <v>48</v>
      </c>
      <c r="K2" s="1" t="s">
        <v>49</v>
      </c>
      <c r="L2" s="1" t="s">
        <v>51</v>
      </c>
      <c r="M2" s="1" t="s">
        <v>50</v>
      </c>
    </row>
    <row r="3" spans="1:13" x14ac:dyDescent="0.25">
      <c r="A3" s="2" t="s">
        <v>45</v>
      </c>
      <c r="B3" s="2">
        <f>SUM(tbl_Ventas[Comision])</f>
        <v>5742</v>
      </c>
      <c r="E3" s="2" t="s">
        <v>8</v>
      </c>
      <c r="F3" s="2">
        <f>SUMIF(tbl_Ventas[Categoria],E3,tbl_Ventas[Total_Ventas])</f>
        <v>75000</v>
      </c>
      <c r="I3" t="s">
        <v>9</v>
      </c>
      <c r="J3">
        <f>SUMIF(tbl_Ventas[Vendedor],I3,tbl_Ventas[Total_Ventas])</f>
        <v>66600</v>
      </c>
      <c r="K3">
        <f>SUMIF(tbl_Ventas[Vendedor],I3,tbl_Ventas[Comision])</f>
        <v>4194</v>
      </c>
      <c r="L3">
        <f>HLOOKUP(I3,Catalogos!$E$1:$H$2,2,FALSE)</f>
        <v>15000</v>
      </c>
      <c r="M3" t="str">
        <f>IF(J3&gt;L3,"Cumple","No Cumple")</f>
        <v>Cumple</v>
      </c>
    </row>
    <row r="4" spans="1:13" x14ac:dyDescent="0.25">
      <c r="A4" s="2" t="s">
        <v>46</v>
      </c>
      <c r="B4" s="2">
        <f>COUNTA(tbl_Ventas[Fecha])</f>
        <v>6</v>
      </c>
      <c r="E4" s="2" t="s">
        <v>15</v>
      </c>
      <c r="F4" s="2">
        <f>SUMIF(tbl_Ventas[Categoria],E4,tbl_Ventas[Total_Ventas])</f>
        <v>13800</v>
      </c>
      <c r="I4" t="s">
        <v>12</v>
      </c>
      <c r="J4">
        <f>SUMIF(tbl_Ventas[Vendedor],I4,tbl_Ventas[Total_Ventas])</f>
        <v>15000</v>
      </c>
      <c r="K4">
        <f>SUMIF(tbl_Ventas[Vendedor],I4,tbl_Ventas[Comision])</f>
        <v>900</v>
      </c>
      <c r="L4">
        <f>HLOOKUP(I4,Catalogos!$E$1:$H$2,2,FALSE)</f>
        <v>12000</v>
      </c>
      <c r="M4" t="str">
        <f t="shared" ref="M4:M5" si="0">IF(J4&gt;L4,"Cumple","No Cumple")</f>
        <v>Cumple</v>
      </c>
    </row>
    <row r="5" spans="1:13" x14ac:dyDescent="0.25">
      <c r="A5" s="2" t="s">
        <v>47</v>
      </c>
      <c r="B5" s="18">
        <f>AVERAGE(tbl_Ventas[Total_Ventas])</f>
        <v>14800</v>
      </c>
      <c r="I5" t="s">
        <v>16</v>
      </c>
      <c r="J5">
        <f>SUMIF(tbl_Ventas[Vendedor],I5,tbl_Ventas[Total_Ventas])</f>
        <v>7200</v>
      </c>
      <c r="K5">
        <f>SUMIF(tbl_Ventas[Vendedor],I5,tbl_Ventas[Comision])</f>
        <v>648</v>
      </c>
      <c r="L5">
        <f>HLOOKUP(I5,Catalogos!$E$1:$H$2,2,FALSE)</f>
        <v>10000</v>
      </c>
      <c r="M5" t="str">
        <f t="shared" si="0"/>
        <v>No Cumple</v>
      </c>
    </row>
    <row r="6" spans="1:13" x14ac:dyDescent="0.25">
      <c r="A6" s="2" t="s">
        <v>67</v>
      </c>
      <c r="B6" s="19">
        <f>B2/SUM(tbl_Ventas[Meta_Vendedor])</f>
        <v>1.1240506329113924</v>
      </c>
    </row>
    <row r="8" spans="1:13" ht="30" x14ac:dyDescent="0.25">
      <c r="A8" s="2" t="s">
        <v>52</v>
      </c>
    </row>
    <row r="9" spans="1:13" x14ac:dyDescent="0.25">
      <c r="A9">
        <f>SUMIFS(tbl_Ventas[Total_Ventas],tbl_Ventas[Categoria],"Tecnología",tbl_Ventas[Ciudad_Cliente],"Bogotá")</f>
        <v>60000</v>
      </c>
    </row>
  </sheetData>
  <conditionalFormatting sqref="M3:M5">
    <cfRule type="containsText" dxfId="1" priority="1" operator="containsText" text="No Cumple">
      <formula>NOT(ISERROR(SEARCH("No Cumple",M3)))</formula>
    </cfRule>
    <cfRule type="containsText" dxfId="0" priority="2" operator="containsText" text="Cumple">
      <formula>NOT(ISERROR(SEARCH("Cumple",M3)))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DF20C-5319-4F61-AD50-79BACA523E43}">
  <dimension ref="A3:I74"/>
  <sheetViews>
    <sheetView topLeftCell="A45" workbookViewId="0">
      <selection activeCell="C48" sqref="C48"/>
    </sheetView>
  </sheetViews>
  <sheetFormatPr baseColWidth="10" defaultRowHeight="15" x14ac:dyDescent="0.25"/>
  <cols>
    <col min="1" max="1" width="17.5703125" bestFit="1" customWidth="1"/>
    <col min="2" max="2" width="20.7109375" bestFit="1" customWidth="1"/>
    <col min="3" max="3" width="17.140625" bestFit="1" customWidth="1"/>
    <col min="4" max="4" width="20.7109375" bestFit="1" customWidth="1"/>
    <col min="5" max="5" width="15.85546875" bestFit="1" customWidth="1"/>
    <col min="6" max="6" width="20.7109375" bestFit="1" customWidth="1"/>
    <col min="7" max="7" width="15.85546875" bestFit="1" customWidth="1"/>
    <col min="8" max="8" width="25.7109375" bestFit="1" customWidth="1"/>
    <col min="9" max="9" width="20.85546875" bestFit="1" customWidth="1"/>
  </cols>
  <sheetData>
    <row r="3" spans="1:9" x14ac:dyDescent="0.25">
      <c r="B3" s="6" t="s">
        <v>55</v>
      </c>
    </row>
    <row r="4" spans="1:9" x14ac:dyDescent="0.25">
      <c r="B4" t="s">
        <v>41</v>
      </c>
      <c r="D4" t="s">
        <v>11</v>
      </c>
      <c r="F4" t="s">
        <v>14</v>
      </c>
      <c r="H4" t="s">
        <v>57</v>
      </c>
      <c r="I4" t="s">
        <v>58</v>
      </c>
    </row>
    <row r="5" spans="1:9" x14ac:dyDescent="0.25">
      <c r="A5" s="6" t="s">
        <v>53</v>
      </c>
      <c r="B5" t="s">
        <v>56</v>
      </c>
      <c r="C5" t="s">
        <v>59</v>
      </c>
      <c r="D5" t="s">
        <v>56</v>
      </c>
      <c r="E5" t="s">
        <v>59</v>
      </c>
      <c r="F5" t="s">
        <v>56</v>
      </c>
      <c r="G5" t="s">
        <v>59</v>
      </c>
    </row>
    <row r="6" spans="1:9" x14ac:dyDescent="0.25">
      <c r="A6" s="7" t="s">
        <v>15</v>
      </c>
      <c r="B6">
        <v>7200</v>
      </c>
      <c r="C6">
        <v>1440</v>
      </c>
      <c r="D6">
        <v>4800</v>
      </c>
      <c r="E6">
        <v>960</v>
      </c>
      <c r="F6">
        <v>1800</v>
      </c>
      <c r="G6">
        <v>360</v>
      </c>
      <c r="H6">
        <v>13800</v>
      </c>
      <c r="I6">
        <v>2760</v>
      </c>
    </row>
    <row r="7" spans="1:9" x14ac:dyDescent="0.25">
      <c r="A7" s="7" t="s">
        <v>8</v>
      </c>
      <c r="C7">
        <v>0</v>
      </c>
      <c r="D7">
        <v>60000</v>
      </c>
      <c r="E7">
        <v>12000</v>
      </c>
      <c r="F7">
        <v>15000</v>
      </c>
      <c r="G7">
        <v>3000</v>
      </c>
      <c r="H7">
        <v>75000</v>
      </c>
      <c r="I7">
        <v>15000</v>
      </c>
    </row>
    <row r="8" spans="1:9" x14ac:dyDescent="0.25">
      <c r="A8" s="7" t="s">
        <v>54</v>
      </c>
      <c r="B8">
        <v>7200</v>
      </c>
      <c r="C8">
        <v>1440</v>
      </c>
      <c r="D8">
        <v>64800</v>
      </c>
      <c r="E8">
        <v>12960</v>
      </c>
      <c r="F8">
        <v>16800</v>
      </c>
      <c r="G8">
        <v>3360</v>
      </c>
      <c r="H8">
        <v>88800</v>
      </c>
      <c r="I8">
        <v>17760</v>
      </c>
    </row>
    <row r="28" spans="1:2" x14ac:dyDescent="0.25">
      <c r="A28" s="6" t="s">
        <v>53</v>
      </c>
      <c r="B28" t="s">
        <v>56</v>
      </c>
    </row>
    <row r="29" spans="1:2" x14ac:dyDescent="0.25">
      <c r="A29" s="7" t="s">
        <v>15</v>
      </c>
      <c r="B29">
        <v>13800</v>
      </c>
    </row>
    <row r="30" spans="1:2" x14ac:dyDescent="0.25">
      <c r="A30" s="7" t="s">
        <v>8</v>
      </c>
      <c r="B30">
        <v>75000</v>
      </c>
    </row>
    <row r="31" spans="1:2" x14ac:dyDescent="0.25">
      <c r="A31" s="7" t="s">
        <v>54</v>
      </c>
      <c r="B31">
        <v>88800</v>
      </c>
    </row>
    <row r="48" spans="1:3" x14ac:dyDescent="0.25">
      <c r="A48" s="6" t="s">
        <v>53</v>
      </c>
      <c r="B48" t="s">
        <v>61</v>
      </c>
      <c r="C48" t="s">
        <v>62</v>
      </c>
    </row>
    <row r="49" spans="1:3" x14ac:dyDescent="0.25">
      <c r="A49" s="7" t="s">
        <v>9</v>
      </c>
      <c r="B49">
        <v>66600</v>
      </c>
      <c r="C49">
        <v>13320</v>
      </c>
    </row>
    <row r="50" spans="1:3" x14ac:dyDescent="0.25">
      <c r="A50" s="7" t="s">
        <v>12</v>
      </c>
      <c r="B50">
        <v>15000</v>
      </c>
      <c r="C50">
        <v>3000</v>
      </c>
    </row>
    <row r="51" spans="1:3" x14ac:dyDescent="0.25">
      <c r="A51" s="7" t="s">
        <v>16</v>
      </c>
      <c r="B51">
        <v>7200</v>
      </c>
      <c r="C51">
        <v>1440</v>
      </c>
    </row>
    <row r="52" spans="1:3" x14ac:dyDescent="0.25">
      <c r="A52" s="7" t="s">
        <v>54</v>
      </c>
      <c r="B52">
        <v>88800</v>
      </c>
      <c r="C52">
        <v>17760</v>
      </c>
    </row>
    <row r="70" spans="1:2" x14ac:dyDescent="0.25">
      <c r="A70" s="6" t="s">
        <v>53</v>
      </c>
      <c r="B70" t="s">
        <v>56</v>
      </c>
    </row>
    <row r="71" spans="1:2" x14ac:dyDescent="0.25">
      <c r="A71" s="7" t="s">
        <v>11</v>
      </c>
      <c r="B71" s="8">
        <v>0.72972972972972971</v>
      </c>
    </row>
    <row r="72" spans="1:2" x14ac:dyDescent="0.25">
      <c r="A72" s="7" t="s">
        <v>14</v>
      </c>
      <c r="B72" s="8">
        <v>0.1891891891891892</v>
      </c>
    </row>
    <row r="73" spans="1:2" x14ac:dyDescent="0.25">
      <c r="A73" s="7" t="s">
        <v>41</v>
      </c>
      <c r="B73" s="8">
        <v>8.1081081081081086E-2</v>
      </c>
    </row>
    <row r="74" spans="1:2" x14ac:dyDescent="0.25">
      <c r="A74" s="7" t="s">
        <v>54</v>
      </c>
      <c r="B74" s="8">
        <v>1</v>
      </c>
    </row>
  </sheetData>
  <pageMargins left="0.7" right="0.7" top="0.75" bottom="0.75" header="0.3" footer="0.3"/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AB857-B6E6-4422-94BD-7394F300F344}">
  <dimension ref="B1:O8"/>
  <sheetViews>
    <sheetView showGridLines="0" showRowColHeaders="0" tabSelected="1" zoomScaleNormal="100" workbookViewId="0">
      <selection activeCell="N6" sqref="N6"/>
    </sheetView>
  </sheetViews>
  <sheetFormatPr baseColWidth="10" defaultRowHeight="15" x14ac:dyDescent="0.25"/>
  <cols>
    <col min="2" max="2" width="21.42578125" customWidth="1"/>
    <col min="3" max="3" width="24.7109375" customWidth="1"/>
    <col min="7" max="7" width="11.42578125" customWidth="1"/>
    <col min="14" max="14" width="23" customWidth="1"/>
    <col min="15" max="15" width="12.5703125" customWidth="1"/>
  </cols>
  <sheetData>
    <row r="1" spans="2:15" ht="21" x14ac:dyDescent="0.35">
      <c r="F1" s="17"/>
      <c r="G1" s="17"/>
    </row>
    <row r="4" spans="2:15" ht="17.25" customHeight="1" x14ac:dyDescent="0.25">
      <c r="B4" s="11" t="s">
        <v>64</v>
      </c>
      <c r="C4" s="11" t="s">
        <v>65</v>
      </c>
      <c r="N4" s="9"/>
      <c r="O4" s="10"/>
    </row>
    <row r="5" spans="2:15" ht="17.25" customHeight="1" x14ac:dyDescent="0.25">
      <c r="B5" s="16" t="s">
        <v>63</v>
      </c>
      <c r="C5" s="13" t="s">
        <v>66</v>
      </c>
      <c r="N5" s="9"/>
      <c r="O5" s="10"/>
    </row>
    <row r="6" spans="2:15" ht="16.5" customHeight="1" x14ac:dyDescent="0.25">
      <c r="B6" s="9"/>
      <c r="C6" s="10"/>
      <c r="N6" s="9"/>
      <c r="O6" s="10"/>
    </row>
    <row r="7" spans="2:15" ht="15.75" customHeight="1" x14ac:dyDescent="0.25">
      <c r="B7" s="14"/>
      <c r="C7" s="11"/>
    </row>
    <row r="8" spans="2:15" ht="15.75" customHeight="1" x14ac:dyDescent="0.25">
      <c r="B8" s="12"/>
      <c r="C8" s="15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Datos_Crudos</vt:lpstr>
      <vt:lpstr>Datos_Limpios</vt:lpstr>
      <vt:lpstr>Productos</vt:lpstr>
      <vt:lpstr>Reglas_Comision</vt:lpstr>
      <vt:lpstr>Catalogos</vt:lpstr>
      <vt:lpstr>Analisis</vt:lpstr>
      <vt:lpstr>Tablas_Dinamicas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2026-02-14T13:23:23Z</dcterms:modified>
</cp:coreProperties>
</file>