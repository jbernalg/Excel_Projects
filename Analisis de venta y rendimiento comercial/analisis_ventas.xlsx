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31B31F22-A6F2-40A6-8283-71E6A4030142}" xr6:coauthVersionLast="47" xr6:coauthVersionMax="47" xr10:uidLastSave="{00000000-0000-0000-0000-000000000000}"/>
  <bookViews>
    <workbookView xWindow="-120" yWindow="-120" windowWidth="20730" windowHeight="11160" firstSheet="2" activeTab="7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  <sheet name="Tablas_Dinamicas" sheetId="8" r:id="rId7"/>
    <sheet name="Dashboard" sheetId="9" r:id="rId8"/>
  </sheets>
  <definedNames>
    <definedName name="_xlnm._FilterDatabase" localSheetId="0" hidden="1">Datos_Crudos!$A$1:$I$1</definedName>
    <definedName name="SegmentaciónDeDatos_Canal">#N/A</definedName>
    <definedName name="SegmentaciónDeDatos_Categoria">#N/A</definedName>
    <definedName name="SegmentaciónDeDatos_Ciudad_Cliente">#N/A</definedName>
  </definedNames>
  <calcPr calcId="191029"/>
  <pivotCaches>
    <pivotCache cacheId="13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9" l="1"/>
  <c r="C5" i="9"/>
  <c r="C4" i="9"/>
  <c r="C3" i="9"/>
  <c r="I7" i="2"/>
  <c r="J7" i="2"/>
  <c r="K7" i="2" s="1"/>
  <c r="N7" i="2"/>
  <c r="O7" i="2"/>
  <c r="L4" i="6"/>
  <c r="L5" i="6"/>
  <c r="L3" i="6"/>
  <c r="K5" i="6"/>
  <c r="J4" i="6"/>
  <c r="J5" i="6"/>
  <c r="F3" i="6"/>
  <c r="B4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J5" i="2"/>
  <c r="K5" i="2" s="1"/>
  <c r="J6" i="2"/>
  <c r="K6" i="2" s="1"/>
  <c r="J2" i="2"/>
  <c r="K2" i="2" s="1"/>
  <c r="M7" i="2" l="1"/>
  <c r="K4" i="6" s="1"/>
  <c r="B2" i="6"/>
  <c r="L7" i="2"/>
  <c r="B5" i="6"/>
  <c r="B3" i="6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<sst xmlns="http://schemas.openxmlformats.org/spreadsheetml/2006/main" count="147" uniqueCount="63">
  <si>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</si>
  <si>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</si>
  <si>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</si>
  <si>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</si>
  <si>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</si>
  <si>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</si>
  <si>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</si>
  <si>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</si>
  <si>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</si>
  <si>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</si>
  <si>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</si>
  <si>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</si>
  <si>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</si>
  <si>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</si>
  <si>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</si>
  <si>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</si>
  <si>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</si>
  <si>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</si>
  <si>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</si>
  <si>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</si>
  <si>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</si>
  <si>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</si>
  <si>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</si>
  <si>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</si>
  <si>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</si>
  <si>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</si>
  <si>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</si>
  <si>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</si>
  <si>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</si>
  <si>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</si>
  <si>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</si>
  <si>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</si>
  <si>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</si>
  <si>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</si>
  <si>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</si>
  <si>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</si>
  <si>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</si>
  <si>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</si>
  <si>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</si>
  <si>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</si>
  <si>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</si>
  <si>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</si>
  <si>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</si>
  <si>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</si>
  <si>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</si>
  <si>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</si>
  <si>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</si>
  <si>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</si>
  <si>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</si>
  <si>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</si>
  <si>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</si>
  <si>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</si>
  <si>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</si>
  <si>
    <t>Etiquetas de fila</t>
  </si>
  <si>
    <t>Total general</t>
  </si>
  <si>
    <t>Etiquetas de columna</t>
  </si>
  <si>
    <t>Suma de Total_Ventas</t>
  </si>
  <si>
    <t>Total Suma de Total_Ventas</t>
  </si>
  <si>
    <t>Total Suma de Margen</t>
  </si>
  <si>
    <t>Suma de Margen</t>
  </si>
  <si>
    <t>Daniel Saenz</t>
  </si>
  <si>
    <t>KPI</t>
  </si>
  <si>
    <t>% Cumplimiento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</si>
</sst>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</cellXfs>
  <cellStyles count="1">
    <cellStyle name="Normal" xfId="0" builtinId="0"/>
  </cellStyles>
  <dxfs count="20">
    <dxf>
      <fill>
        <patternFill>
          <fgColor theme="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Tablas_Dinamicas!$B$3:$B$5</c:f>
              <c:strCache>
                <c:ptCount val="1"/>
                <c:pt idx="0">
                  <c:v>Mayorista - Suma de Total_Ventas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Tablas_Dinamicas!$B$6:$B$7</c:f>
              <c:numCache>
                <c:formatCode>General</c:formatCode>
                <c:ptCount val="1"/>
                <c:pt idx="0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61-4A71-BE75-232FC779DBC3}"/>
            </c:ext>
          </c:extLst>
        </c:ser>
        <c:ser>
          <c:idx val="1"/>
          <c:order val="1"/>
          <c:tx>
            <c:strRef>
              <c:f>Tablas_Dinamicas!$C$3:$C$5</c:f>
              <c:strCache>
                <c:ptCount val="1"/>
                <c:pt idx="0">
                  <c:v>Mayorista - Suma de Margen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Tablas_Dinamicas!$C$6:$C$7</c:f>
              <c:numCache>
                <c:formatCode>General</c:formatCode>
                <c:ptCount val="1"/>
                <c:pt idx="0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61-4A71-BE75-232FC779DBC3}"/>
            </c:ext>
          </c:extLst>
        </c:ser>
        <c:ser>
          <c:idx val="2"/>
          <c:order val="2"/>
          <c:tx>
            <c:strRef>
              <c:f>Tablas_Dinamicas!$D$3:$D$5</c:f>
              <c:strCache>
                <c:ptCount val="1"/>
                <c:pt idx="0">
                  <c:v>Tienda - Suma de Total_Ventas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Tablas_Dinamicas!$D$6:$D$7</c:f>
              <c:numCache>
                <c:formatCode>General</c:formatCode>
                <c:ptCount val="1"/>
                <c:pt idx="0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F61-4A71-BE75-232FC779DBC3}"/>
            </c:ext>
          </c:extLst>
        </c:ser>
        <c:ser>
          <c:idx val="3"/>
          <c:order val="3"/>
          <c:tx>
            <c:strRef>
              <c:f>Tablas_Dinamicas!$E$3:$E$5</c:f>
              <c:strCache>
                <c:ptCount val="1"/>
                <c:pt idx="0">
                  <c:v>Tienda - Suma de Margen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Tablas_Dinamicas!$E$6:$E$7</c:f>
              <c:numCache>
                <c:formatCode>General</c:formatCode>
                <c:ptCount val="1"/>
                <c:pt idx="0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F61-4A71-BE75-232FC779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791407"/>
        <c:axId val="730802927"/>
      </c:barChart>
      <c:catAx>
        <c:axId val="730791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02927"/>
        <c:crosses val="autoZero"/>
        <c:auto val="1"/>
        <c:lblAlgn val="ctr"/>
        <c:lblOffset val="100"/>
        <c:noMultiLvlLbl val="0"/>
      </c:catAx>
      <c:valAx>
        <c:axId val="73080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79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14287</xdr:rowOff>
    </xdr:from>
    <xdr:to>
      <xdr:col>3</xdr:col>
      <xdr:colOff>847725</xdr:colOff>
      <xdr:row>24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EA44C0-2F00-B45C-1434-B80DECFAF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1009650</xdr:colOff>
      <xdr:row>14</xdr:row>
      <xdr:rowOff>161926</xdr:rowOff>
    </xdr:from>
    <xdr:to>
      <xdr:col>5</xdr:col>
      <xdr:colOff>400050</xdr:colOff>
      <xdr:row>20</xdr:row>
      <xdr:rowOff>142876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Ciudad_Cliente">
              <a:extLst>
                <a:ext uri="{FF2B5EF4-FFF2-40B4-BE49-F238E27FC236}">
                  <a16:creationId xmlns:a16="http://schemas.microsoft.com/office/drawing/2014/main" id="{F0DC0437-48FF-11F7-174D-C3E2C2E845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33925" y="2828926"/>
              <a:ext cx="1828800" cy="1123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1000125</xdr:colOff>
      <xdr:row>8</xdr:row>
      <xdr:rowOff>171451</xdr:rowOff>
    </xdr:from>
    <xdr:to>
      <xdr:col>5</xdr:col>
      <xdr:colOff>390525</xdr:colOff>
      <xdr:row>14</xdr:row>
      <xdr:rowOff>152401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Canal">
              <a:extLst>
                <a:ext uri="{FF2B5EF4-FFF2-40B4-BE49-F238E27FC236}">
                  <a16:creationId xmlns:a16="http://schemas.microsoft.com/office/drawing/2014/main" id="{DE7D243C-57B1-88EB-334E-4505EA64B8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24400" y="1695451"/>
              <a:ext cx="1828800" cy="1123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990600</xdr:colOff>
      <xdr:row>20</xdr:row>
      <xdr:rowOff>152401</xdr:rowOff>
    </xdr:from>
    <xdr:to>
      <xdr:col>5</xdr:col>
      <xdr:colOff>381000</xdr:colOff>
      <xdr:row>26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7CE511AB-ACBB-F66C-22BB-F826EB8EAE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14875" y="3962401"/>
              <a:ext cx="1828800" cy="1095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infferson B" refreshedDate="46062.581010532405" createdVersion="8" refreshedVersion="8" minRefreshableVersion="3" recordCount="6" xr:uid="{BD0C2A9B-79B2-47CB-A8E6-DE14BF5EA00E}">
  <cacheSource type="worksheet">
    <worksheetSource name="tbl_Ventas"/>
  </cacheSource>
  <cacheFields count="15">
    <cacheField name="Fecha" numFmtId="14">
      <sharedItems containsSemiMixedTypes="0" containsNonDate="0" containsDate="1" containsString="0" minDate="2024-01-05T00:00:00" maxDate="2024-01-10T00:00:00"/>
    </cacheField>
    <cacheField name="Nombre_Cliente" numFmtId="49">
      <sharedItems/>
    </cacheField>
    <cacheField name="Vendedor" numFmtId="0">
      <sharedItems/>
    </cacheField>
    <cacheField name="Ciudad_Cliente" numFmtId="0">
      <sharedItems count="3">
        <s v="Bogotá"/>
        <s v="Medellín"/>
        <s v="Cali"/>
      </sharedItems>
    </cacheField>
    <cacheField name="Canal" numFmtId="0">
      <sharedItems count="3">
        <s v="Tienda"/>
        <s v="Online"/>
        <s v="Mayorista"/>
      </sharedItems>
    </cacheField>
    <cacheField name="Cantidad" numFmtId="0">
      <sharedItems containsSemiMixedTypes="0" containsString="0" containsNumber="1" containsInteger="1" minValue="2" maxValue="24"/>
    </cacheField>
    <cacheField name="Producto" numFmtId="0">
      <sharedItems/>
    </cacheField>
    <cacheField name="Categoria" numFmtId="0">
      <sharedItems count="2">
        <s v="Muebles"/>
        <s v="Tecnología"/>
      </sharedItems>
    </cacheField>
    <cacheField name="Precio_Unitario" numFmtId="0">
      <sharedItems containsSemiMixedTypes="0" containsString="0" containsNumber="1" containsInteger="1" minValue="300" maxValue="2500"/>
    </cacheField>
    <cacheField name="Total_Ventas" numFmtId="0">
      <sharedItems containsSemiMixedTypes="0" containsString="0" containsNumber="1" containsInteger="1" minValue="1800" maxValue="60000"/>
    </cacheField>
    <cacheField name="Tipo_Venta" numFmtId="0">
      <sharedItems/>
    </cacheField>
    <cacheField name="Comision" numFmtId="0">
      <sharedItems containsSemiMixedTypes="0" containsString="0" containsNumber="1" containsInteger="1" minValue="162" maxValue="3600"/>
    </cacheField>
    <cacheField name="Zona" numFmtId="0">
      <sharedItems/>
    </cacheField>
    <cacheField name="Meta_Vendedor" numFmtId="0">
      <sharedItems containsSemiMixedTypes="0" containsString="0" containsNumber="1" containsInteger="1" minValue="10000" maxValue="15000"/>
    </cacheField>
    <cacheField name="Margen" numFmtId="0" formula="Total_Ventas *0.2" databaseField="0"/>
  </cacheFields>
  <extLst>
    <ext xmlns:x14="http://schemas.microsoft.com/office/spreadsheetml/2009/9/main" uri="{725AE2AE-9491-48be-B2B4-4EB974FC3084}">
      <x14:pivotCacheDefinition pivotCacheId="195089723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4-01-05T00:00:00"/>
    <s v="Ana Gómez "/>
    <s v="Carlos"/>
    <x v="0"/>
    <x v="0"/>
    <n v="2"/>
    <s v="Escritorio"/>
    <x v="0"/>
    <n v="900"/>
    <n v="1800"/>
    <s v="Media"/>
    <n v="162"/>
    <s v="Centro"/>
    <n v="15000"/>
  </r>
  <r>
    <d v="2024-01-06T00:00:00"/>
    <s v="Luis Pérez "/>
    <s v="Diana"/>
    <x v="1"/>
    <x v="0"/>
    <n v="3"/>
    <s v="Laptop"/>
    <x v="1"/>
    <n v="2500"/>
    <n v="7500"/>
    <s v="Alta"/>
    <n v="450"/>
    <s v="Norte"/>
    <n v="12000"/>
  </r>
  <r>
    <d v="2024-01-06T00:00:00"/>
    <s v="Ana Gómez "/>
    <s v="Carlos"/>
    <x v="0"/>
    <x v="1"/>
    <n v="24"/>
    <s v="Laptop"/>
    <x v="1"/>
    <n v="2500"/>
    <n v="60000"/>
    <s v="Alta"/>
    <n v="3600"/>
    <s v="Centro"/>
    <n v="15000"/>
  </r>
  <r>
    <d v="2024-01-07T00:00:00"/>
    <s v="Juan Ruiz "/>
    <s v="Andrés"/>
    <x v="2"/>
    <x v="2"/>
    <n v="8"/>
    <s v="Escritorio"/>
    <x v="0"/>
    <n v="900"/>
    <n v="7200"/>
    <s v="Alta"/>
    <n v="648"/>
    <s v="Sur"/>
    <n v="10000"/>
  </r>
  <r>
    <d v="2024-01-08T00:00:00"/>
    <s v="Laura Díaz "/>
    <s v="Carlos"/>
    <x v="0"/>
    <x v="1"/>
    <n v="16"/>
    <s v="Silla"/>
    <x v="0"/>
    <n v="300"/>
    <n v="4800"/>
    <s v="Alta"/>
    <n v="432"/>
    <s v="Centro"/>
    <n v="15000"/>
  </r>
  <r>
    <d v="2024-01-09T00:00:00"/>
    <s v="Daniel Saenz"/>
    <s v="Diana"/>
    <x v="1"/>
    <x v="0"/>
    <n v="3"/>
    <s v="Laptop"/>
    <x v="1"/>
    <n v="2500"/>
    <n v="7500"/>
    <s v="Alta"/>
    <n v="450"/>
    <s v="Norte"/>
    <n v="1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D9401C-0867-4023-8396-216647198446}" name="TablaDiná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G7" firstHeaderRow="1" firstDataRow="3" firstDataCol="1"/>
  <pivotFields count="15">
    <pivotField numFmtId="14" showAll="0"/>
    <pivotField showAll="0"/>
    <pivotField showAll="0"/>
    <pivotField showAll="0">
      <items count="4">
        <item x="0"/>
        <item x="2"/>
        <item x="1"/>
        <item t="default"/>
      </items>
    </pivotField>
    <pivotField axis="axisCol" showAll="0">
      <items count="4">
        <item x="2"/>
        <item h="1" x="1"/>
        <item x="0"/>
        <item t="default"/>
      </items>
    </pivotField>
    <pivotField showAll="0"/>
    <pivotField showAll="0"/>
    <pivotField axis="axisRow" showAll="0">
      <items count="3">
        <item x="0"/>
        <item h="1"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7"/>
  </rowFields>
  <rowItems count="2">
    <i>
      <x/>
    </i>
    <i t="grand">
      <x/>
    </i>
  </rowItems>
  <colFields count="2">
    <field x="4"/>
    <field x="-2"/>
  </colFields>
  <colItems count="6">
    <i>
      <x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a de Total_Ventas" fld="9" baseField="0" baseItem="0"/>
    <dataField name="Suma de Margen" fld="14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0" format="6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_Cliente" xr10:uid="{A0577B1D-4BA0-4B00-97A5-E1E5F1405705}" sourceName="Ciudad_Cliente">
  <pivotTables>
    <pivotTable tabId="8" name="TablaDinámica1"/>
  </pivotTables>
  <data>
    <tabular pivotCacheId="1950897236">
      <items count="3">
        <i x="0" s="1"/>
        <i x="2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620ACF3E-581E-439C-9624-E503D850EF54}" sourceName="Canal">
  <pivotTables>
    <pivotTable tabId="8" name="TablaDinámica1"/>
  </pivotTables>
  <data>
    <tabular pivotCacheId="1950897236">
      <items count="3">
        <i x="2" s="1"/>
        <i x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9D128584-2947-4CE9-8DBB-85829E51BAB7}" sourceName="Categoria">
  <pivotTables>
    <pivotTable tabId="8" name="TablaDinámica1"/>
  </pivotTables>
  <data>
    <tabular pivotCacheId="1950897236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iudad_Cliente" xr10:uid="{B64D52E5-2CBD-4D43-9F16-6F51226004CF}" cache="SegmentaciónDeDatos_Ciudad_Cliente" caption="Ciudad_Cliente" rowHeight="241300"/>
  <slicer name="Canal" xr10:uid="{5288BE5D-8717-4BCE-AC6E-EC3421CD1811}" cache="SegmentaciónDeDatos_Canal" caption="Canal" rowHeight="241300"/>
  <slicer name="Categoria" xr10:uid="{95438D9A-F1EB-41AD-B2A7-97F491E122BC}" cache="SegmentaciónDeDatos_Categoria" caption="Categoria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7" totalsRowShown="0" headerRowDxfId="19">
  <autoFilter ref="B1:O7" xr:uid="{D6F5F690-9516-436E-95BD-879E016B9934}"/>
  <tableColumns count="14">
    <tableColumn id="1" xr3:uid="{F686120E-3EBE-4819-A4C9-C5C19E7694D8}" name="Fecha" dataDxfId="18"/>
    <tableColumn id="2" xr3:uid="{57EC154B-AFCA-4F28-B2A5-1B3D4A522B8B}" name="Nombre_Cliente" dataDxfId="17"/>
    <tableColumn id="3" xr3:uid="{20842C38-4314-4C04-AF5D-57B781570431}" name="Vendedor" dataDxfId="16"/>
    <tableColumn id="4" xr3:uid="{1AFF7737-AC16-446D-9C38-30E465477779}" name="Ciudad_Cliente" dataDxfId="15"/>
    <tableColumn id="5" xr3:uid="{EA20E595-DFA8-44EF-A492-70AF7EF4F681}" name="Canal" dataDxfId="14"/>
    <tableColumn id="6" xr3:uid="{31392976-848E-4F0B-A479-313941522E30}" name="Cantidad" dataDxfId="13"/>
    <tableColumn id="7" xr3:uid="{AB4AD0D6-5E87-4A7E-80FC-48B981701FAA}" name="Producto" dataDxfId="12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11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0" dataDxfId="9">
  <autoFilter ref="A1:C5" xr:uid="{A92B6507-4B6A-4B49-B413-87F7A39C07E3}"/>
  <tableColumns count="3">
    <tableColumn id="1" xr3:uid="{C55A325D-7BD6-49AC-B11E-EDF0A27B1C16}" name="Producto" dataDxfId="8"/>
    <tableColumn id="2" xr3:uid="{A0FFE583-A718-487D-81FE-9C07633F39F7}" name="Categoría" dataDxfId="7"/>
    <tableColumn id="3" xr3:uid="{9177BD52-4EA4-494A-BEA0-D32F3FBB1A94}" name="Precio_Unitario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5" dataDxfId="4">
  <autoFilter ref="A1:B4" xr:uid="{15766B5E-EE8D-46D2-AF07-6C940906BD4A}"/>
  <tableColumns count="2">
    <tableColumn id="1" xr3:uid="{18AD78C6-E525-46AB-B3FD-CD06CC0882AC}" name="Vendedor" dataDxfId="3"/>
    <tableColumn id="2" xr3:uid="{0E06197B-6A6B-416F-ACB8-12C41A75EC61}" name="Zona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7"/>
  <sheetViews>
    <sheetView workbookViewId="0">
      <selection activeCell="B8" sqref="B8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>G3*J3</f>
        <v>7500</v>
      </c>
      <c r="L3" t="str">
        <f t="shared" ref="L3:L6" si="0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>G4*J4</f>
        <v>60000</v>
      </c>
      <c r="L4" t="str">
        <f t="shared" si="0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>G5*J5</f>
        <v>7200</v>
      </c>
      <c r="L5" t="str">
        <f t="shared" si="0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>G6*J6</f>
        <v>4800</v>
      </c>
      <c r="L6" t="str">
        <f t="shared" si="0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  <row r="7" spans="1:15" x14ac:dyDescent="0.25">
      <c r="A7" s="2">
        <v>1006</v>
      </c>
      <c r="B7" s="3">
        <v>45300</v>
      </c>
      <c r="C7" s="5" t="s">
        <v>60</v>
      </c>
      <c r="D7" s="2" t="s">
        <v>12</v>
      </c>
      <c r="E7" s="2" t="s">
        <v>13</v>
      </c>
      <c r="F7" s="2" t="s">
        <v>14</v>
      </c>
      <c r="G7" s="2">
        <v>3</v>
      </c>
      <c r="H7" s="2" t="s">
        <v>29</v>
      </c>
      <c r="I7" t="str">
        <f>INDEX(tbl_Productos[Categoría],MATCH(H7,tbl_Productos[Producto],0))</f>
        <v>Tecnología</v>
      </c>
      <c r="J7" s="2">
        <f>VLOOKUP(H7,tbl_Productos[],3,)</f>
        <v>2500</v>
      </c>
      <c r="K7">
        <f>G7*J7</f>
        <v>7500</v>
      </c>
      <c r="L7" t="str">
        <f>IF(K7&gt;3000,"Alta",IF(K7&gt;1000,"Media","Baja"))</f>
        <v>Alta</v>
      </c>
      <c r="M7">
        <f>K7*INDEX(tbl_Comisiones[PCT_comision],MATCH(I7,tbl_Comisiones[Categoria],0))</f>
        <v>450</v>
      </c>
      <c r="N7" t="str">
        <f>INDEX(tbl_vendedores[Zona],MATCH(D7,tbl_vendedores[Vendedor],0))</f>
        <v>Norte</v>
      </c>
      <c r="O7">
        <f>HLOOKUP(D7,Catalogos!$E$1:$H$2,2,FALSE)</f>
        <v>12000</v>
      </c>
    </row>
  </sheetData>
  <dataValidations count="1">
    <dataValidation type="whole" allowBlank="1" showInputMessage="1" showErrorMessage="1" sqref="G2:G7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H2:H7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workbookViewId="0">
      <selection activeCell="M3" sqref="M3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2">
        <f>SUM(tbl_Ventas[Total_Ventas])</f>
        <v>88800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5742</v>
      </c>
      <c r="E3" s="2" t="s">
        <v>8</v>
      </c>
      <c r="F3" s="2">
        <f>SUMIF(tbl_Ventas[Categoria],E3,tbl_Ventas[Total_Ventas])</f>
        <v>75000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6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15000</v>
      </c>
      <c r="K4">
        <f>SUMIF(tbl_Ventas[Vendedor],I4,tbl_Ventas[Comision])</f>
        <v>900</v>
      </c>
      <c r="L4">
        <f>HLOOKUP(I4,Catalogos!$E$1:$H$2,2,FALSE)</f>
        <v>12000</v>
      </c>
      <c r="M4" t="str">
        <f t="shared" ref="M4:M5" si="0">IF(J4&gt;L4,"Cumple","No Cumple")</f>
        <v>Cumple</v>
      </c>
    </row>
    <row r="5" spans="1:13" x14ac:dyDescent="0.25">
      <c r="A5" s="2" t="s">
        <v>47</v>
      </c>
      <c r="B5" s="2">
        <f>AVERAGE(tbl_Ventas[Total_Ventas])</f>
        <v>14800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conditionalFormatting sqref="M3:M5">
    <cfRule type="containsText" dxfId="1" priority="1" operator="containsText" text="No Cumple">
      <formula>NOT(ISERROR(SEARCH("No Cumple",M3)))</formula>
    </cfRule>
    <cfRule type="containsText" dxfId="0" priority="2" operator="containsText" text="Cumple">
      <formula>NOT(ISERROR(SEARCH("Cumple",M3)))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DF20C-5319-4F61-AD50-79BACA523E43}">
  <dimension ref="A3:G7"/>
  <sheetViews>
    <sheetView topLeftCell="A4" workbookViewId="0">
      <selection activeCell="A3" sqref="A3:G7"/>
      <pivotSelection pane="bottomRight" showHeader="1" activeRow="2" click="1" r:id="rId1">
        <pivotArea type="all" dataOnly="0" outline="0" fieldPosition="0"/>
      </pivotSelection>
    </sheetView>
  </sheetViews>
  <sheetFormatPr baseColWidth="10" defaultRowHeight="15" x14ac:dyDescent="0.25"/>
  <cols>
    <col min="1" max="1" width="17.5703125" bestFit="1" customWidth="1"/>
    <col min="2" max="2" width="22.42578125" bestFit="1" customWidth="1"/>
    <col min="3" max="3" width="15.85546875" bestFit="1" customWidth="1"/>
    <col min="4" max="4" width="20.7109375" bestFit="1" customWidth="1"/>
    <col min="5" max="5" width="15.85546875" bestFit="1" customWidth="1"/>
    <col min="6" max="6" width="25.7109375" bestFit="1" customWidth="1"/>
    <col min="7" max="7" width="20.85546875" bestFit="1" customWidth="1"/>
    <col min="8" max="8" width="25.7109375" bestFit="1" customWidth="1"/>
    <col min="9" max="9" width="20.85546875" bestFit="1" customWidth="1"/>
  </cols>
  <sheetData>
    <row r="3" spans="1:7" x14ac:dyDescent="0.25">
      <c r="B3" s="6" t="s">
        <v>55</v>
      </c>
    </row>
    <row r="4" spans="1:7" x14ac:dyDescent="0.25">
      <c r="B4" t="s">
        <v>41</v>
      </c>
      <c r="D4" t="s">
        <v>14</v>
      </c>
      <c r="F4" t="s">
        <v>57</v>
      </c>
      <c r="G4" t="s">
        <v>58</v>
      </c>
    </row>
    <row r="5" spans="1:7" x14ac:dyDescent="0.25">
      <c r="A5" s="6" t="s">
        <v>53</v>
      </c>
      <c r="B5" t="s">
        <v>56</v>
      </c>
      <c r="C5" t="s">
        <v>59</v>
      </c>
      <c r="D5" t="s">
        <v>56</v>
      </c>
      <c r="E5" t="s">
        <v>59</v>
      </c>
    </row>
    <row r="6" spans="1:7" x14ac:dyDescent="0.25">
      <c r="A6" s="7" t="s">
        <v>15</v>
      </c>
      <c r="B6" s="8">
        <v>7200</v>
      </c>
      <c r="C6" s="8">
        <v>1440</v>
      </c>
      <c r="D6" s="8">
        <v>1800</v>
      </c>
      <c r="E6" s="8">
        <v>360</v>
      </c>
      <c r="F6" s="8">
        <v>9000</v>
      </c>
      <c r="G6" s="8">
        <v>1800</v>
      </c>
    </row>
    <row r="7" spans="1:7" x14ac:dyDescent="0.25">
      <c r="A7" s="7" t="s">
        <v>54</v>
      </c>
      <c r="B7" s="8">
        <v>7200</v>
      </c>
      <c r="C7" s="8">
        <v>1440</v>
      </c>
      <c r="D7" s="8">
        <v>1800</v>
      </c>
      <c r="E7" s="8">
        <v>360</v>
      </c>
      <c r="F7" s="8">
        <v>9000</v>
      </c>
      <c r="G7" s="8">
        <v>1800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B857-B6E6-4422-94BD-7394F300F344}">
  <dimension ref="B2:C6"/>
  <sheetViews>
    <sheetView tabSelected="1" workbookViewId="0">
      <selection activeCell="B9" sqref="B9"/>
    </sheetView>
  </sheetViews>
  <sheetFormatPr baseColWidth="10" defaultRowHeight="15" x14ac:dyDescent="0.25"/>
  <cols>
    <col min="2" max="2" width="21.42578125" customWidth="1"/>
    <col min="3" max="3" width="16.42578125" bestFit="1" customWidth="1"/>
  </cols>
  <sheetData>
    <row r="2" spans="2:3" ht="18.75" x14ac:dyDescent="0.25">
      <c r="B2" s="9" t="s">
        <v>61</v>
      </c>
      <c r="C2" s="9" t="s">
        <v>43</v>
      </c>
    </row>
    <row r="3" spans="2:3" ht="17.25" customHeight="1" x14ac:dyDescent="0.25">
      <c r="B3" s="10" t="s">
        <v>44</v>
      </c>
      <c r="C3" s="10">
        <f>Analisis!B2</f>
        <v>88800</v>
      </c>
    </row>
    <row r="4" spans="2:3" ht="16.5" customHeight="1" x14ac:dyDescent="0.25">
      <c r="B4" s="10" t="s">
        <v>45</v>
      </c>
      <c r="C4" s="10">
        <f>SUM(tbl_Ventas[Comision])</f>
        <v>5742</v>
      </c>
    </row>
    <row r="5" spans="2:3" ht="15.75" customHeight="1" x14ac:dyDescent="0.25">
      <c r="B5" s="10" t="s">
        <v>47</v>
      </c>
      <c r="C5" s="10">
        <f>AVERAGE(tbl_Ventas[Total_Ventas])</f>
        <v>14800</v>
      </c>
    </row>
    <row r="6" spans="2:3" ht="15.75" customHeight="1" x14ac:dyDescent="0.25">
      <c r="B6" s="10" t="s">
        <v>62</v>
      </c>
      <c r="C6" s="10">
        <f>C3/SUM(tbl_Ventas[Meta_Vendedor])</f>
        <v>1.1240506329113924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Datos_Crudos</vt:lpstr>
      <vt:lpstr>Datos_Limpios</vt:lpstr>
      <vt:lpstr>Productos</vt:lpstr>
      <vt:lpstr>Reglas_Comision</vt:lpstr>
      <vt:lpstr>Catalogos</vt:lpstr>
      <vt:lpstr>Analisis</vt:lpstr>
      <vt:lpstr>Tablas_Dinamicas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2026-02-09T19:04:33Z</dcterms:modified>
</cp:coreProperties>
</file>