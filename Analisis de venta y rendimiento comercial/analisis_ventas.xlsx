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jbernal\Excel_Projects\Analisis de venta y rendimiento comercial\"/>
    </mc:Choice>
  </mc:AlternateContent>
  <xr:revisionPtr revIDLastSave="0" documentId="13_ncr:1_{A989FCBD-A807-4ECC-858B-24F8C8523A65}" xr6:coauthVersionLast="47" xr6:coauthVersionMax="47" xr10:uidLastSave="{00000000-0000-0000-0000-000000000000}"/>
  <bookViews>
    <workbookView xWindow="-120" yWindow="-120" windowWidth="20730" windowHeight="11160" activeTab="5" xr2:uid="{C3689989-C428-4383-B478-D0EDFC37C904}"/>
  </bookViews>
  <sheets>
    <sheet name="Datos_Crudos" sheetId="1" r:id="rId1"/>
    <sheet name="Datos_Limpios" sheetId="2" r:id="rId2"/>
    <sheet name="Productos" sheetId="3" r:id="rId3"/>
    <sheet name="Reglas_Comision" sheetId="4" r:id="rId4"/>
    <sheet name="Catalogos" sheetId="5" r:id="rId5"/>
    <sheet name="Analisis" sheetId="6" r:id="rId6"/>
  </sheets>
  <definedNames>
    <definedName name="_xlnm._FilterDatabase" localSheetId="0" hidden="1">Datos_Crudos!$A$1:$I$1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6" l="1"/>
  <c r="M4" i="6" s="1"/>
  <c r="L5" i="6"/>
  <c r="M5" i="6" s="1"/>
  <c r="L3" i="6"/>
  <c r="M3" i="6" s="1"/>
  <c r="K4" i="6"/>
  <c r="K5" i="6"/>
  <c r="K3" i="6"/>
  <c r="J4" i="6"/>
  <c r="J5" i="6"/>
  <c r="J3" i="6"/>
  <c r="F4" i="6"/>
  <c r="F3" i="6"/>
  <c r="B5" i="6"/>
  <c r="B4" i="6"/>
  <c r="B3" i="6"/>
  <c r="B2" i="6"/>
  <c r="O3" i="2"/>
  <c r="O4" i="2"/>
  <c r="O5" i="2"/>
  <c r="O6" i="2"/>
  <c r="O2" i="2"/>
  <c r="N3" i="2"/>
  <c r="N4" i="2"/>
  <c r="N5" i="2"/>
  <c r="N6" i="2"/>
  <c r="N2" i="2"/>
  <c r="M3" i="2"/>
  <c r="M4" i="2"/>
  <c r="M5" i="2"/>
  <c r="M6" i="2"/>
  <c r="M2" i="2"/>
  <c r="L3" i="2"/>
  <c r="L4" i="2"/>
  <c r="L5" i="2"/>
  <c r="L6" i="2"/>
  <c r="L2" i="2"/>
  <c r="I3" i="2"/>
  <c r="I4" i="2"/>
  <c r="I5" i="2"/>
  <c r="I6" i="2"/>
  <c r="I2" i="2"/>
  <c r="J3" i="2"/>
  <c r="K3" i="2" s="1"/>
  <c r="J4" i="2"/>
  <c r="K4" i="2" s="1"/>
  <c r="J5" i="2"/>
  <c r="K5" i="2" s="1"/>
  <c r="J6" i="2"/>
  <c r="K6" i="2" s="1"/>
  <c r="J2" i="2"/>
  <c r="K2" i="2" s="1"/>
</calcChain>
</file>

<file path=xl/sharedStrings.xml><?xml version="1.0" encoding="utf-8"?>
<sst xmlns="http://schemas.openxmlformats.org/spreadsheetml/2006/main" count="123" uniqueCount="52">
  <si>
    <t>ID_Venta</t>
  </si>
  <si>
    <t>Fecha</t>
  </si>
  <si>
    <t>Categoría</t>
  </si>
  <si>
    <t>Vendedor</t>
  </si>
  <si>
    <t>Ciudad</t>
  </si>
  <si>
    <t>Canal</t>
  </si>
  <si>
    <t>Cantidad</t>
  </si>
  <si>
    <t>Precio_Unitario</t>
  </si>
  <si>
    <t>Tecnología</t>
  </si>
  <si>
    <t>Carlos</t>
  </si>
  <si>
    <t>Bogotá</t>
  </si>
  <si>
    <t>Online</t>
  </si>
  <si>
    <t>Diana</t>
  </si>
  <si>
    <t>Medellín</t>
  </si>
  <si>
    <t>Tienda</t>
  </si>
  <si>
    <t>Muebles</t>
  </si>
  <si>
    <t>Andrés</t>
  </si>
  <si>
    <t>Cali</t>
  </si>
  <si>
    <t xml:space="preserve">Ana Gómez </t>
  </si>
  <si>
    <t xml:space="preserve">Luis Pérez </t>
  </si>
  <si>
    <t xml:space="preserve">Juan Ruiz </t>
  </si>
  <si>
    <t xml:space="preserve">Laura Díaz </t>
  </si>
  <si>
    <t>Cliente</t>
  </si>
  <si>
    <t>Nombre_Cliente</t>
  </si>
  <si>
    <t>Ciudad_Cliente</t>
  </si>
  <si>
    <t>Total_Ventas</t>
  </si>
  <si>
    <t>Tipo_Venta</t>
  </si>
  <si>
    <t>Comision</t>
  </si>
  <si>
    <t>Producto</t>
  </si>
  <si>
    <t>Laptop</t>
  </si>
  <si>
    <t>Mouse</t>
  </si>
  <si>
    <t>Escritorio</t>
  </si>
  <si>
    <t>Silla</t>
  </si>
  <si>
    <t>Categoria</t>
  </si>
  <si>
    <t>PCT_comision</t>
  </si>
  <si>
    <t>Zona</t>
  </si>
  <si>
    <t>Centro</t>
  </si>
  <si>
    <t>Norte</t>
  </si>
  <si>
    <t>Sur</t>
  </si>
  <si>
    <t>Meta_Mensual</t>
  </si>
  <si>
    <t>Meta_Vendedor</t>
  </si>
  <si>
    <t>Mayorista</t>
  </si>
  <si>
    <t>Métrica</t>
  </si>
  <si>
    <t>Valor</t>
  </si>
  <si>
    <t>Ventas Totales</t>
  </si>
  <si>
    <t>Total Comisiones</t>
  </si>
  <si>
    <t>Número de Ventas</t>
  </si>
  <si>
    <t>Ticket Promedio</t>
  </si>
  <si>
    <t>Ventas</t>
  </si>
  <si>
    <t>Comisión</t>
  </si>
  <si>
    <t>Cumple Meta</t>
  </si>
  <si>
    <t xml:space="preserve">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</si>
</sst>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F5F690-9516-436E-95BD-879E016B9934}" name="tbl_Ventas" displayName="tbl_Ventas" ref="B1:O6" totalsRowShown="0" headerRowDxfId="0">
  <autoFilter ref="B1:O6" xr:uid="{D6F5F690-9516-436E-95BD-879E016B9934}"/>
  <tableColumns count="14">
    <tableColumn id="1" xr3:uid="{F686120E-3EBE-4819-A4C9-C5C19E7694D8}" name="Fecha" dataDxfId="8"/>
    <tableColumn id="2" xr3:uid="{57EC154B-AFCA-4F28-B2A5-1B3D4A522B8B}" name="Nombre_Cliente" dataDxfId="7"/>
    <tableColumn id="3" xr3:uid="{20842C38-4314-4C04-AF5D-57B781570431}" name="Vendedor" dataDxfId="6"/>
    <tableColumn id="4" xr3:uid="{1AFF7737-AC16-446D-9C38-30E465477779}" name="Ciudad_Cliente" dataDxfId="5"/>
    <tableColumn id="5" xr3:uid="{EA20E595-DFA8-44EF-A492-70AF7EF4F681}" name="Canal" dataDxfId="4"/>
    <tableColumn id="6" xr3:uid="{31392976-848E-4F0B-A479-313941522E30}" name="Cantidad" dataDxfId="3"/>
    <tableColumn id="7" xr3:uid="{AB4AD0D6-5E87-4A7E-80FC-48B981701FAA}" name="Producto" dataDxfId="2"/>
    <tableColumn id="8" xr3:uid="{E06E2179-40BA-4901-AD67-FAFB8D91FBED}" name="Categoria">
      <calculatedColumnFormula>INDEX(tbl_Productos[Categoría],MATCH(H2,tbl_Productos[Producto],0))</calculatedColumnFormula>
    </tableColumn>
    <tableColumn id="9" xr3:uid="{D3212D4F-59A2-48A6-8057-EBEBA9203DCE}" name="Precio_Unitario" dataDxfId="1">
      <calculatedColumnFormula>VLOOKUP(H2,tbl_Productos[],3,)</calculatedColumnFormula>
    </tableColumn>
    <tableColumn id="10" xr3:uid="{7CB75159-24DA-4A4C-9DAF-3AE32704ED63}" name="Total_Ventas">
      <calculatedColumnFormula>G2*J2</calculatedColumnFormula>
    </tableColumn>
    <tableColumn id="11" xr3:uid="{B5544080-13D2-4A98-95DF-379B03718646}" name="Tipo_Venta">
      <calculatedColumnFormula>IF(K2&gt;3000,"Alta",IF(K2&gt;1000,"Media","Baja"))</calculatedColumnFormula>
    </tableColumn>
    <tableColumn id="12" xr3:uid="{399A87D0-4824-4329-952D-CC75DFF83E05}" name="Comision">
      <calculatedColumnFormula>K2*INDEX(tbl_Comisiones[PCT_comision],MATCH(I2,tbl_Comisiones[Categoria],0))</calculatedColumnFormula>
    </tableColumn>
    <tableColumn id="13" xr3:uid="{1A1086B1-0BD1-4BD9-A404-93F4C1AC34D0}" name="Zona">
      <calculatedColumnFormula>INDEX(tbl_vendedores[Zona],MATCH(D2,tbl_vendedores[Vendedor],0))</calculatedColumnFormula>
    </tableColumn>
    <tableColumn id="14" xr3:uid="{BD611D99-B9E1-40BF-94B3-E643EB1E72FD}" name="Meta_Vendedor">
      <calculatedColumnFormula>HLOOKUP(D2,Catalogos!$E$1:$H$2,2,FALSE)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B6507-4B6A-4B49-B413-87F7A39C07E3}" name="tbl_Productos" displayName="tbl_Productos" ref="A1:C5" totalsRowShown="0" headerRowDxfId="13" dataDxfId="14">
  <autoFilter ref="A1:C5" xr:uid="{A92B6507-4B6A-4B49-B413-87F7A39C07E3}"/>
  <tableColumns count="3">
    <tableColumn id="1" xr3:uid="{C55A325D-7BD6-49AC-B11E-EDF0A27B1C16}" name="Producto" dataDxfId="17"/>
    <tableColumn id="2" xr3:uid="{A0FFE583-A718-487D-81FE-9C07633F39F7}" name="Categoría" dataDxfId="16"/>
    <tableColumn id="3" xr3:uid="{9177BD52-4EA4-494A-BEA0-D32F3FBB1A94}" name="Precio_Unitario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C3F104-6185-481B-AA84-21DBA956BF27}" name="tbl_Comisiones" displayName="tbl_Comisiones" ref="A1:B3" totalsRowShown="0">
  <autoFilter ref="A1:B3" xr:uid="{24C3F104-6185-481B-AA84-21DBA956BF27}"/>
  <tableColumns count="2">
    <tableColumn id="1" xr3:uid="{DD42696A-07B4-4869-A763-37E5E23B3AE4}" name="Categoria"/>
    <tableColumn id="2" xr3:uid="{5C2E5988-912F-4958-8B99-9C786FAB7FE9}" name="PCT_comi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766B5E-EE8D-46D2-AF07-6C940906BD4A}" name="tbl_vendedores" displayName="tbl_vendedores" ref="A1:B4" totalsRowShown="0" headerRowDxfId="9" dataDxfId="10">
  <autoFilter ref="A1:B4" xr:uid="{15766B5E-EE8D-46D2-AF07-6C940906BD4A}"/>
  <tableColumns count="2">
    <tableColumn id="1" xr3:uid="{18AD78C6-E525-46AB-B3FD-CD06CC0882AC}" name="Vendedor" dataDxfId="12"/>
    <tableColumn id="2" xr3:uid="{0E06197B-6A6B-416F-ACB8-12C41A75EC61}" name="Zona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7D8548-1181-4CAB-AACA-507982D8FBAD}" name="tbl_Canales" displayName="tbl_Canales" ref="E5:E8" totalsRowShown="0">
  <autoFilter ref="E5:E8" xr:uid="{BE7D8548-1181-4CAB-AACA-507982D8FBAD}"/>
  <tableColumns count="1">
    <tableColumn id="1" xr3:uid="{5F6C3D22-E61F-434E-847C-7C0E89D4801A}" name="Ca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4B8C-D256-47CC-933A-CCEA15337550}">
  <dimension ref="A1:I6"/>
  <sheetViews>
    <sheetView workbookViewId="0">
      <selection sqref="A1:H6"/>
    </sheetView>
  </sheetViews>
  <sheetFormatPr baseColWidth="10" defaultRowHeight="15" x14ac:dyDescent="0.25"/>
  <cols>
    <col min="1" max="1" width="13.7109375" bestFit="1" customWidth="1"/>
    <col min="2" max="2" width="10.7109375" bestFit="1" customWidth="1"/>
    <col min="3" max="3" width="12" bestFit="1" customWidth="1"/>
    <col min="7" max="7" width="10.42578125" bestFit="1" customWidth="1"/>
    <col min="8" max="8" width="13.42578125" bestFit="1" customWidth="1"/>
    <col min="9" max="9" width="19.42578125" hidden="1" customWidth="1"/>
  </cols>
  <sheetData>
    <row r="1" spans="1:9" x14ac:dyDescent="0.25">
      <c r="A1" s="1" t="s">
        <v>0</v>
      </c>
      <c r="B1" s="1" t="s">
        <v>1</v>
      </c>
      <c r="C1" s="4" t="s">
        <v>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1001</v>
      </c>
      <c r="B2" s="3">
        <v>45296</v>
      </c>
      <c r="C2" s="5" t="s">
        <v>18</v>
      </c>
      <c r="D2" s="2" t="s">
        <v>8</v>
      </c>
      <c r="E2" s="2" t="s">
        <v>9</v>
      </c>
      <c r="F2" s="2" t="s">
        <v>10</v>
      </c>
      <c r="G2" s="2" t="s">
        <v>11</v>
      </c>
      <c r="H2" s="2">
        <v>2</v>
      </c>
      <c r="I2" s="2">
        <v>2500</v>
      </c>
    </row>
    <row r="3" spans="1:9" x14ac:dyDescent="0.25">
      <c r="A3" s="2">
        <v>1002</v>
      </c>
      <c r="B3" s="3">
        <v>45297</v>
      </c>
      <c r="C3" s="5" t="s">
        <v>19</v>
      </c>
      <c r="D3" s="2" t="s">
        <v>8</v>
      </c>
      <c r="E3" s="2" t="s">
        <v>12</v>
      </c>
      <c r="F3" s="2" t="s">
        <v>13</v>
      </c>
      <c r="G3" s="2" t="s">
        <v>14</v>
      </c>
      <c r="H3" s="2">
        <v>5</v>
      </c>
      <c r="I3" s="2">
        <v>50</v>
      </c>
    </row>
    <row r="4" spans="1:9" x14ac:dyDescent="0.25">
      <c r="A4" s="2">
        <v>1003</v>
      </c>
      <c r="B4" s="3">
        <v>45297</v>
      </c>
      <c r="C4" s="5" t="s">
        <v>18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</v>
      </c>
      <c r="I4" s="2">
        <v>2500</v>
      </c>
    </row>
    <row r="5" spans="1:9" x14ac:dyDescent="0.25">
      <c r="A5" s="2">
        <v>1004</v>
      </c>
      <c r="B5" s="3">
        <v>45298</v>
      </c>
      <c r="C5" s="5" t="s">
        <v>20</v>
      </c>
      <c r="D5" s="2" t="s">
        <v>15</v>
      </c>
      <c r="E5" s="2" t="s">
        <v>16</v>
      </c>
      <c r="F5" s="2" t="s">
        <v>17</v>
      </c>
      <c r="G5" s="2" t="s">
        <v>14</v>
      </c>
      <c r="H5" s="2">
        <v>1</v>
      </c>
      <c r="I5" s="2">
        <v>900</v>
      </c>
    </row>
    <row r="6" spans="1:9" x14ac:dyDescent="0.25">
      <c r="A6" s="2">
        <v>1005</v>
      </c>
      <c r="B6" s="3">
        <v>45299</v>
      </c>
      <c r="C6" s="5" t="s">
        <v>21</v>
      </c>
      <c r="D6" s="2" t="s">
        <v>15</v>
      </c>
      <c r="E6" s="2" t="s">
        <v>9</v>
      </c>
      <c r="F6" s="2" t="s">
        <v>10</v>
      </c>
      <c r="G6" s="2" t="s">
        <v>11</v>
      </c>
      <c r="H6" s="2">
        <v>3</v>
      </c>
      <c r="I6" s="2">
        <v>300</v>
      </c>
    </row>
  </sheetData>
  <sheetProtection selectLockedCells="1" autoFilter="0"/>
  <autoFilter ref="A1:I1" xr:uid="{1B6E4B8C-D256-47CC-933A-CCEA1533755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AA19-3F82-4913-9D8A-B900C901E1CA}">
  <dimension ref="A1:O6"/>
  <sheetViews>
    <sheetView topLeftCell="C1" workbookViewId="0">
      <selection activeCell="O2" sqref="O2"/>
    </sheetView>
  </sheetViews>
  <sheetFormatPr baseColWidth="10" defaultRowHeight="15" x14ac:dyDescent="0.25"/>
  <cols>
    <col min="3" max="3" width="17.85546875" customWidth="1"/>
    <col min="4" max="4" width="12" customWidth="1"/>
    <col min="5" max="5" width="16.7109375" customWidth="1"/>
    <col min="9" max="9" width="11.5703125" customWidth="1"/>
    <col min="10" max="10" width="17" customWidth="1"/>
    <col min="11" max="11" width="14.7109375" customWidth="1"/>
    <col min="12" max="12" width="13.28515625" customWidth="1"/>
    <col min="15" max="15" width="17.7109375" customWidth="1"/>
  </cols>
  <sheetData>
    <row r="1" spans="1:15" ht="30" x14ac:dyDescent="0.25">
      <c r="A1" s="1" t="s">
        <v>0</v>
      </c>
      <c r="B1" s="1" t="s">
        <v>1</v>
      </c>
      <c r="C1" s="4" t="s">
        <v>23</v>
      </c>
      <c r="D1" s="1" t="s">
        <v>3</v>
      </c>
      <c r="E1" s="1" t="s">
        <v>24</v>
      </c>
      <c r="F1" s="1" t="s">
        <v>5</v>
      </c>
      <c r="G1" s="1" t="s">
        <v>6</v>
      </c>
      <c r="H1" s="1" t="s">
        <v>28</v>
      </c>
      <c r="I1" s="1" t="s">
        <v>33</v>
      </c>
      <c r="J1" s="1" t="s">
        <v>7</v>
      </c>
      <c r="K1" s="1" t="s">
        <v>25</v>
      </c>
      <c r="L1" s="1" t="s">
        <v>26</v>
      </c>
      <c r="M1" s="1" t="s">
        <v>27</v>
      </c>
      <c r="N1" s="1" t="s">
        <v>35</v>
      </c>
      <c r="O1" s="1" t="s">
        <v>40</v>
      </c>
    </row>
    <row r="2" spans="1:15" x14ac:dyDescent="0.25">
      <c r="A2" s="2">
        <v>1001</v>
      </c>
      <c r="B2" s="3">
        <v>45296</v>
      </c>
      <c r="C2" s="5" t="s">
        <v>18</v>
      </c>
      <c r="D2" s="2" t="s">
        <v>9</v>
      </c>
      <c r="E2" s="2" t="s">
        <v>10</v>
      </c>
      <c r="F2" s="2" t="s">
        <v>14</v>
      </c>
      <c r="G2" s="2">
        <v>2</v>
      </c>
      <c r="H2" s="2" t="s">
        <v>31</v>
      </c>
      <c r="I2" t="str">
        <f>INDEX(tbl_Productos[Categoría],MATCH(H2,tbl_Productos[Producto],0))</f>
        <v>Muebles</v>
      </c>
      <c r="J2" s="2">
        <f>VLOOKUP(H2,tbl_Productos[],3,)</f>
        <v>900</v>
      </c>
      <c r="K2">
        <f>G2*J2</f>
        <v>1800</v>
      </c>
      <c r="L2" t="str">
        <f>IF(K2&gt;3000,"Alta",IF(K2&gt;1000,"Media","Baja"))</f>
        <v>Media</v>
      </c>
      <c r="M2">
        <f>K2*INDEX(tbl_Comisiones[PCT_comision],MATCH(I2,tbl_Comisiones[Categoria],0))</f>
        <v>162</v>
      </c>
      <c r="N2" t="str">
        <f>INDEX(tbl_vendedores[Zona],MATCH(D2,tbl_vendedores[Vendedor],0))</f>
        <v>Centro</v>
      </c>
      <c r="O2">
        <f>HLOOKUP(D2,Catalogos!$E$1:$H$2,2,FALSE)</f>
        <v>15000</v>
      </c>
    </row>
    <row r="3" spans="1:15" x14ac:dyDescent="0.25">
      <c r="A3" s="2">
        <v>1002</v>
      </c>
      <c r="B3" s="3">
        <v>45297</v>
      </c>
      <c r="C3" s="5" t="s">
        <v>19</v>
      </c>
      <c r="D3" s="2" t="s">
        <v>12</v>
      </c>
      <c r="E3" s="2" t="s">
        <v>13</v>
      </c>
      <c r="F3" s="2" t="s">
        <v>14</v>
      </c>
      <c r="G3" s="2">
        <v>3</v>
      </c>
      <c r="H3" s="2" t="s">
        <v>29</v>
      </c>
      <c r="I3" t="str">
        <f>INDEX(tbl_Productos[Categoría],MATCH(H3,tbl_Productos[Producto],0))</f>
        <v>Tecnología</v>
      </c>
      <c r="J3" s="2">
        <f>VLOOKUP(H3,tbl_Productos[],3,)</f>
        <v>2500</v>
      </c>
      <c r="K3">
        <f>G3*J3</f>
        <v>7500</v>
      </c>
      <c r="L3" t="str">
        <f t="shared" ref="L3:L6" si="0">IF(K3&gt;3000,"Alta",IF(K3&gt;1000,"Media","Baja"))</f>
        <v>Alta</v>
      </c>
      <c r="M3">
        <f>K3*INDEX(tbl_Comisiones[PCT_comision],MATCH(I3,tbl_Comisiones[Categoria],0))</f>
        <v>450</v>
      </c>
      <c r="N3" t="str">
        <f>INDEX(tbl_vendedores[Zona],MATCH(D3,tbl_vendedores[Vendedor],0))</f>
        <v>Norte</v>
      </c>
      <c r="O3">
        <f>HLOOKUP(D3,Catalogos!$E$1:$H$2,2,FALSE)</f>
        <v>12000</v>
      </c>
    </row>
    <row r="4" spans="1:15" x14ac:dyDescent="0.25">
      <c r="A4" s="2">
        <v>1003</v>
      </c>
      <c r="B4" s="3">
        <v>45297</v>
      </c>
      <c r="C4" s="5" t="s">
        <v>18</v>
      </c>
      <c r="D4" s="2" t="s">
        <v>9</v>
      </c>
      <c r="E4" s="2" t="s">
        <v>10</v>
      </c>
      <c r="F4" s="2" t="s">
        <v>11</v>
      </c>
      <c r="G4" s="2">
        <v>24</v>
      </c>
      <c r="H4" s="2" t="s">
        <v>31</v>
      </c>
      <c r="I4" t="str">
        <f>INDEX(tbl_Productos[Categoría],MATCH(H4,tbl_Productos[Producto],0))</f>
        <v>Muebles</v>
      </c>
      <c r="J4" s="2">
        <f>VLOOKUP(H4,tbl_Productos[],3,)</f>
        <v>900</v>
      </c>
      <c r="K4">
        <f>G4*J4</f>
        <v>21600</v>
      </c>
      <c r="L4" t="str">
        <f t="shared" si="0"/>
        <v>Alta</v>
      </c>
      <c r="M4">
        <f>K4*INDEX(tbl_Comisiones[PCT_comision],MATCH(I4,tbl_Comisiones[Categoria],0))</f>
        <v>1944</v>
      </c>
      <c r="N4" t="str">
        <f>INDEX(tbl_vendedores[Zona],MATCH(D4,tbl_vendedores[Vendedor],0))</f>
        <v>Centro</v>
      </c>
      <c r="O4">
        <f>HLOOKUP(D4,Catalogos!$E$1:$H$2,2,FALSE)</f>
        <v>15000</v>
      </c>
    </row>
    <row r="5" spans="1:15" x14ac:dyDescent="0.25">
      <c r="A5" s="2">
        <v>1004</v>
      </c>
      <c r="B5" s="3">
        <v>45298</v>
      </c>
      <c r="C5" s="5" t="s">
        <v>20</v>
      </c>
      <c r="D5" s="2" t="s">
        <v>16</v>
      </c>
      <c r="E5" s="2" t="s">
        <v>17</v>
      </c>
      <c r="F5" s="2" t="s">
        <v>41</v>
      </c>
      <c r="G5" s="2">
        <v>8</v>
      </c>
      <c r="H5" s="2" t="s">
        <v>31</v>
      </c>
      <c r="I5" t="str">
        <f>INDEX(tbl_Productos[Categoría],MATCH(H5,tbl_Productos[Producto],0))</f>
        <v>Muebles</v>
      </c>
      <c r="J5" s="2">
        <f>VLOOKUP(H5,tbl_Productos[],3,)</f>
        <v>900</v>
      </c>
      <c r="K5">
        <f>G5*J5</f>
        <v>7200</v>
      </c>
      <c r="L5" t="str">
        <f t="shared" si="0"/>
        <v>Alta</v>
      </c>
      <c r="M5">
        <f>K5*INDEX(tbl_Comisiones[PCT_comision],MATCH(I5,tbl_Comisiones[Categoria],0))</f>
        <v>648</v>
      </c>
      <c r="N5" t="str">
        <f>INDEX(tbl_vendedores[Zona],MATCH(D5,tbl_vendedores[Vendedor],0))</f>
        <v>Sur</v>
      </c>
      <c r="O5">
        <f>HLOOKUP(D5,Catalogos!$E$1:$H$2,2,FALSE)</f>
        <v>10000</v>
      </c>
    </row>
    <row r="6" spans="1:15" x14ac:dyDescent="0.25">
      <c r="A6" s="2">
        <v>1005</v>
      </c>
      <c r="B6" s="3">
        <v>45299</v>
      </c>
      <c r="C6" s="5" t="s">
        <v>21</v>
      </c>
      <c r="D6" s="2" t="s">
        <v>9</v>
      </c>
      <c r="E6" s="2" t="s">
        <v>10</v>
      </c>
      <c r="F6" s="2" t="s">
        <v>11</v>
      </c>
      <c r="G6" s="2">
        <v>16</v>
      </c>
      <c r="H6" s="2" t="s">
        <v>32</v>
      </c>
      <c r="I6" t="str">
        <f>INDEX(tbl_Productos[Categoría],MATCH(H6,tbl_Productos[Producto],0))</f>
        <v>Muebles</v>
      </c>
      <c r="J6" s="2">
        <f>VLOOKUP(H6,tbl_Productos[],3,)</f>
        <v>300</v>
      </c>
      <c r="K6">
        <f>G6*J6</f>
        <v>4800</v>
      </c>
      <c r="L6" t="str">
        <f t="shared" si="0"/>
        <v>Alta</v>
      </c>
      <c r="M6">
        <f>K6*INDEX(tbl_Comisiones[PCT_comision],MATCH(I6,tbl_Comisiones[Categoria],0))</f>
        <v>432</v>
      </c>
      <c r="N6" t="str">
        <f>INDEX(tbl_vendedores[Zona],MATCH(D6,tbl_vendedores[Vendedor],0))</f>
        <v>Centro</v>
      </c>
      <c r="O6">
        <f>HLOOKUP(D6,Catalogos!$E$1:$H$2,2,FALSE)</f>
        <v>15000</v>
      </c>
    </row>
  </sheetData>
  <dataValidations count="1">
    <dataValidation type="whole" allowBlank="1" showInputMessage="1" showErrorMessage="1" sqref="G2:G6" xr:uid="{56A338E2-FAA5-4BDE-8A62-271F32D614C1}">
      <formula1>1</formula1>
      <formula2>1000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66A43A-292A-423D-A39B-46379CB8812C}">
          <x14:formula1>
            <xm:f>Productos!$A$2:$A$5</xm:f>
          </x14:formula1>
          <xm:sqref>H2:H6</xm:sqref>
        </x14:dataValidation>
        <x14:dataValidation type="list" allowBlank="1" showInputMessage="1" showErrorMessage="1" xr:uid="{692AEB86-420E-41B6-B0B2-2AD614ECE2C1}">
          <x14:formula1>
            <xm:f>Catalogos!$E$6:$E$8</xm:f>
          </x14:formula1>
          <xm:sqref>F2:F6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5C4B-DD2E-420C-9957-486FA74CFD36}">
  <dimension ref="A1:C5"/>
  <sheetViews>
    <sheetView workbookViewId="0">
      <selection sqref="A1:C5"/>
    </sheetView>
  </sheetViews>
  <sheetFormatPr baseColWidth="10" defaultRowHeight="15" x14ac:dyDescent="0.25"/>
  <cols>
    <col min="2" max="2" width="11.5703125" customWidth="1"/>
    <col min="3" max="3" width="17" customWidth="1"/>
  </cols>
  <sheetData>
    <row r="1" spans="1:3" ht="30" x14ac:dyDescent="0.25">
      <c r="A1" s="1" t="s">
        <v>28</v>
      </c>
      <c r="B1" s="1" t="s">
        <v>2</v>
      </c>
      <c r="C1" s="1" t="s">
        <v>7</v>
      </c>
    </row>
    <row r="2" spans="1:3" x14ac:dyDescent="0.25">
      <c r="A2" s="2" t="s">
        <v>29</v>
      </c>
      <c r="B2" s="2" t="s">
        <v>8</v>
      </c>
      <c r="C2" s="2">
        <v>2500</v>
      </c>
    </row>
    <row r="3" spans="1:3" x14ac:dyDescent="0.25">
      <c r="A3" s="2" t="s">
        <v>30</v>
      </c>
      <c r="B3" s="2" t="s">
        <v>8</v>
      </c>
      <c r="C3" s="2">
        <v>50</v>
      </c>
    </row>
    <row r="4" spans="1:3" x14ac:dyDescent="0.25">
      <c r="A4" s="2" t="s">
        <v>31</v>
      </c>
      <c r="B4" s="2" t="s">
        <v>15</v>
      </c>
      <c r="C4" s="2">
        <v>900</v>
      </c>
    </row>
    <row r="5" spans="1:3" x14ac:dyDescent="0.25">
      <c r="A5" s="2" t="s">
        <v>32</v>
      </c>
      <c r="B5" s="2" t="s">
        <v>15</v>
      </c>
      <c r="C5" s="2">
        <v>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4243-4D18-4DBF-ACF7-2A506EF364F7}">
  <dimension ref="A1:B3"/>
  <sheetViews>
    <sheetView workbookViewId="0">
      <selection activeCell="B4" sqref="B4"/>
    </sheetView>
  </sheetViews>
  <sheetFormatPr baseColWidth="10" defaultRowHeight="15" x14ac:dyDescent="0.25"/>
  <cols>
    <col min="1" max="1" width="11.5703125" customWidth="1"/>
    <col min="2" max="2" width="15.42578125" customWidth="1"/>
  </cols>
  <sheetData>
    <row r="1" spans="1:2" x14ac:dyDescent="0.25">
      <c r="A1" t="s">
        <v>33</v>
      </c>
      <c r="B1" t="s">
        <v>34</v>
      </c>
    </row>
    <row r="2" spans="1:2" x14ac:dyDescent="0.25">
      <c r="A2" t="s">
        <v>8</v>
      </c>
      <c r="B2">
        <v>0.06</v>
      </c>
    </row>
    <row r="3" spans="1:2" x14ac:dyDescent="0.25">
      <c r="A3" t="s">
        <v>15</v>
      </c>
      <c r="B3">
        <v>0.09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1B8E-3674-4B50-89DF-9570360BEBAA}">
  <dimension ref="A1:H8"/>
  <sheetViews>
    <sheetView workbookViewId="0">
      <selection activeCell="F3" sqref="F3"/>
    </sheetView>
  </sheetViews>
  <sheetFormatPr baseColWidth="10" defaultRowHeight="15" x14ac:dyDescent="0.25"/>
  <cols>
    <col min="1" max="1" width="15.28515625" customWidth="1"/>
    <col min="5" max="5" width="15.28515625" customWidth="1"/>
  </cols>
  <sheetData>
    <row r="1" spans="1:8" x14ac:dyDescent="0.25">
      <c r="A1" s="1" t="s">
        <v>3</v>
      </c>
      <c r="B1" s="1" t="s">
        <v>35</v>
      </c>
      <c r="E1" s="1"/>
      <c r="F1" s="1" t="s">
        <v>9</v>
      </c>
      <c r="G1" s="1" t="s">
        <v>12</v>
      </c>
      <c r="H1" s="1" t="s">
        <v>16</v>
      </c>
    </row>
    <row r="2" spans="1:8" ht="17.25" customHeight="1" x14ac:dyDescent="0.25">
      <c r="A2" s="2" t="s">
        <v>9</v>
      </c>
      <c r="B2" s="2" t="s">
        <v>36</v>
      </c>
      <c r="E2" s="2" t="s">
        <v>39</v>
      </c>
      <c r="F2" s="2">
        <v>15000</v>
      </c>
      <c r="G2" s="2">
        <v>12000</v>
      </c>
      <c r="H2" s="2">
        <v>10000</v>
      </c>
    </row>
    <row r="3" spans="1:8" x14ac:dyDescent="0.25">
      <c r="A3" s="2" t="s">
        <v>12</v>
      </c>
      <c r="B3" s="2" t="s">
        <v>37</v>
      </c>
    </row>
    <row r="4" spans="1:8" x14ac:dyDescent="0.25">
      <c r="A4" s="2" t="s">
        <v>16</v>
      </c>
      <c r="B4" s="2" t="s">
        <v>38</v>
      </c>
    </row>
    <row r="5" spans="1:8" x14ac:dyDescent="0.25">
      <c r="E5" t="s">
        <v>5</v>
      </c>
    </row>
    <row r="6" spans="1:8" x14ac:dyDescent="0.25">
      <c r="E6" t="s">
        <v>11</v>
      </c>
    </row>
    <row r="7" spans="1:8" x14ac:dyDescent="0.25">
      <c r="E7" t="s">
        <v>14</v>
      </c>
    </row>
    <row r="8" spans="1:8" x14ac:dyDescent="0.25">
      <c r="E8" t="s">
        <v>41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6B31-8C4D-400A-89C4-83AC6B681457}">
  <dimension ref="A1:M5"/>
  <sheetViews>
    <sheetView tabSelected="1" workbookViewId="0">
      <selection activeCell="M7" sqref="M7"/>
    </sheetView>
  </sheetViews>
  <sheetFormatPr baseColWidth="10" defaultRowHeight="15" x14ac:dyDescent="0.25"/>
  <cols>
    <col min="1" max="1" width="22.7109375" customWidth="1"/>
    <col min="2" max="2" width="11.85546875" bestFit="1" customWidth="1"/>
    <col min="12" max="12" width="17.5703125" customWidth="1"/>
    <col min="13" max="13" width="15.85546875" customWidth="1"/>
  </cols>
  <sheetData>
    <row r="1" spans="1:13" x14ac:dyDescent="0.25">
      <c r="A1" s="1" t="s">
        <v>42</v>
      </c>
      <c r="B1" s="1" t="s">
        <v>43</v>
      </c>
    </row>
    <row r="2" spans="1:13" ht="17.25" customHeight="1" x14ac:dyDescent="0.25">
      <c r="A2" s="2" t="s">
        <v>44</v>
      </c>
      <c r="B2" s="2">
        <f>SUM(tbl_Ventas[Total_Ventas])</f>
        <v>42900</v>
      </c>
      <c r="E2" s="1" t="s">
        <v>2</v>
      </c>
      <c r="F2" s="1" t="s">
        <v>48</v>
      </c>
      <c r="I2" s="1" t="s">
        <v>3</v>
      </c>
      <c r="J2" s="1" t="s">
        <v>48</v>
      </c>
      <c r="K2" s="1" t="s">
        <v>49</v>
      </c>
      <c r="L2" s="1" t="s">
        <v>51</v>
      </c>
      <c r="M2" s="1" t="s">
        <v>50</v>
      </c>
    </row>
    <row r="3" spans="1:13" x14ac:dyDescent="0.25">
      <c r="A3" s="2" t="s">
        <v>45</v>
      </c>
      <c r="B3" s="2">
        <f>SUM(tbl_Ventas[Comision])</f>
        <v>3636</v>
      </c>
      <c r="E3" s="2" t="s">
        <v>8</v>
      </c>
      <c r="F3" s="2">
        <f>SUMIF(tbl_Ventas[Categoria],E3,tbl_Ventas[Total_Ventas])</f>
        <v>7500</v>
      </c>
      <c r="I3" t="s">
        <v>9</v>
      </c>
      <c r="J3">
        <f>SUMIF(tbl_Ventas[Vendedor],I3,tbl_Ventas[Total_Ventas])</f>
        <v>28200</v>
      </c>
      <c r="K3">
        <f>SUMIF(tbl_Ventas[Vendedor],I3,tbl_Ventas[Comision])</f>
        <v>2538</v>
      </c>
      <c r="L3">
        <f>HLOOKUP(I3,Catalogos!$E$1:$H$2,2,FALSE)</f>
        <v>15000</v>
      </c>
      <c r="M3" t="str">
        <f>IF(J3&gt;L3,"Cumple","No Cumple")</f>
        <v>Cumple</v>
      </c>
    </row>
    <row r="4" spans="1:13" x14ac:dyDescent="0.25">
      <c r="A4" s="2" t="s">
        <v>46</v>
      </c>
      <c r="B4" s="2">
        <f>COUNTA(tbl_Ventas[Fecha])</f>
        <v>5</v>
      </c>
      <c r="E4" s="2" t="s">
        <v>15</v>
      </c>
      <c r="F4" s="2">
        <f>SUMIF(tbl_Ventas[Categoria],E4,tbl_Ventas[Total_Ventas])</f>
        <v>35400</v>
      </c>
      <c r="I4" t="s">
        <v>12</v>
      </c>
      <c r="J4">
        <f>SUMIF(tbl_Ventas[Vendedor],I4,tbl_Ventas[Total_Ventas])</f>
        <v>7500</v>
      </c>
      <c r="K4">
        <f>SUMIF(tbl_Ventas[Vendedor],I4,tbl_Ventas[Comision])</f>
        <v>450</v>
      </c>
      <c r="L4">
        <f>HLOOKUP(I4,Catalogos!$E$1:$H$2,2,FALSE)</f>
        <v>12000</v>
      </c>
      <c r="M4" t="str">
        <f t="shared" ref="M4:M5" si="0">IF(J4&gt;L4,"Cumple","No Cumple")</f>
        <v>No Cumple</v>
      </c>
    </row>
    <row r="5" spans="1:13" x14ac:dyDescent="0.25">
      <c r="A5" s="2" t="s">
        <v>47</v>
      </c>
      <c r="B5" s="2">
        <f>AVERAGE(tbl_Ventas[Total_Ventas])</f>
        <v>8580</v>
      </c>
      <c r="I5" t="s">
        <v>16</v>
      </c>
      <c r="J5">
        <f>SUMIF(tbl_Ventas[Vendedor],I5,tbl_Ventas[Total_Ventas])</f>
        <v>7200</v>
      </c>
      <c r="K5">
        <f>SUMIF(tbl_Ventas[Vendedor],I5,tbl_Ventas[Comision])</f>
        <v>648</v>
      </c>
      <c r="L5">
        <f>HLOOKUP(I5,Catalogos!$E$1:$H$2,2,FALSE)</f>
        <v>10000</v>
      </c>
      <c r="M5" t="str">
        <f t="shared" si="0"/>
        <v>No Cumple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Datos_Crudos</vt:lpstr>
      <vt:lpstr>Datos_Limpios</vt:lpstr>
      <vt:lpstr>Productos</vt:lpstr>
      <vt:lpstr>Reglas_Comision</vt:lpstr>
      <vt:lpstr>Catalogos</vt:lpstr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Jeinfferson Bernal</dc:creator>
  <cp:lastModifiedBy>Jeinfferson Bernal</cp:lastModifiedBy>
  <dcterms:created xsi:type="dcterms:W3CDTF">2026-02-05T14:05:17Z</dcterms:created>
  <dcterms:modified xsi:type="dcterms:W3CDTF">2026-02-07T19:58:52Z</dcterms:modified>
</cp:coreProperties>
</file>