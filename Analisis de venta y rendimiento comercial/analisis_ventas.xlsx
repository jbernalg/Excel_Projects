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0E89D6BE-3FAA-4265-A761-11C194D06117}" xr6:coauthVersionLast="47" xr6:coauthVersionMax="47" xr10:uidLastSave="{00000000-0000-0000-0000-000000000000}"/>
  <bookViews>
    <workbookView xWindow="-120" yWindow="-120" windowWidth="20730" windowHeight="11160" firstSheet="2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1">#N/A</definedName>
    <definedName name="SegmentaciónDeDatos_Categoria">#N/A</definedName>
    <definedName name="SegmentaciónDeDatos_Ciudad_Cliente">#N/A</definedName>
    <definedName name="SegmentaciónDeDatos_Vendedor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6" l="1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<sst xmlns="http://schemas.openxmlformats.org/spreadsheetml/2006/main" count="168" uniqueCount="68">
  <si>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</si>
  <si>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</si>
  <si>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</si>
  <si>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</si>
  <si>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</si>
  <si>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</si>
  <si>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</si>
  <si>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</si>
  <si>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</si>
  <si>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</si>
  <si>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</si>
  <si>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</si>
  <si>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</si>
  <si>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</si>
  <si>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</si>
  <si>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</si>
  <si>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</si>
  <si>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</si>
  <si>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</si>
  <si>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</si>
  <si>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</si>
  <si>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</si>
  <si>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</si>
  <si>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</si>
  <si>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</si>
  <si>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</si>
  <si>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</si>
  <si>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</si>
  <si>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</si>
  <si>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</si>
  <si>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</si>
  <si>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</si>
  <si>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</si>
  <si>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</si>
  <si>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</si>
  <si>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</si>
  <si>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</si>
  <si>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</si>
  <si>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</si>
  <si>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</si>
  <si>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</si>
  <si>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</si>
  <si>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</si>
  <si>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</si>
  <si>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</si>
  <si>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</si>
  <si>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</si>
  <si>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</si>
  <si>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</si>
  <si>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</si>
  <si>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</si>
  <si>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</si>
  <si>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</si>
  <si>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</si>
  <si>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</si>
  <si>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</si>
  <si>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</si>
  <si>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</si>
  <si>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</si>
  <si>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</si>
  <si>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</si>
  <si>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Total_de_Ventas</t>
  </si>
  <si>
    <t>Margen_Ganancia</t>
  </si>
  <si>
    <t xml:space="preserve"> </t>
  </si>
  <si>
    <t xml:space="preserve">            </t>
  </si>
  <si>
    <t xml:space="preserve">                           </t>
  </si>
  <si>
    <t xml:space="preserve">       </t>
  </si>
  <si>
    <t>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</si>
</sst>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.00"/>
    <numFmt numFmtId="165" formatCode="&quot;$&quot;\ #,##0"/>
    <numFmt numFmtId="166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0" borderId="0" xfId="0" applyFont="1" applyAlignment="1">
      <alignment horizontal="center" vertical="center" wrapText="1"/>
    </xf>
    <xf numFmtId="165" fontId="0" fillId="0" borderId="0" xfId="0" applyNumberFormat="1" applyAlignment="1">
      <alignment vertical="center" wrapText="1"/>
    </xf>
    <xf numFmtId="166" fontId="0" fillId="0" borderId="0" xfId="0" applyNumberFormat="1"/>
    <xf numFmtId="0" fontId="0" fillId="2" borderId="0" xfId="0" applyFill="1"/>
    <xf numFmtId="0" fontId="4" fillId="2" borderId="0" xfId="0" applyFont="1" applyFill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vertical="center" wrapText="1"/>
    </xf>
    <xf numFmtId="165" fontId="3" fillId="2" borderId="0" xfId="0" applyNumberFormat="1" applyFont="1" applyFill="1" applyAlignment="1">
      <alignment horizontal="left" vertical="center" wrapText="1"/>
    </xf>
    <xf numFmtId="164" fontId="3" fillId="2" borderId="0" xfId="0" applyNumberFormat="1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/>
    </xf>
    <xf numFmtId="9" fontId="3" fillId="2" borderId="0" xfId="0" applyNumberFormat="1" applyFont="1" applyFill="1" applyAlignment="1">
      <alignment horizontal="left" vertical="center" wrapText="1"/>
    </xf>
    <xf numFmtId="0" fontId="0" fillId="0" borderId="0" xfId="0" applyNumberFormat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7F7F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Tablas_Dinamicas!$B$6:$B$8</c:f>
              <c:numCache>
                <c:formatCode>General</c:formatCode>
                <c:ptCount val="2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Tablas_Dinamicas!$C$6:$C$8</c:f>
              <c:numCache>
                <c:formatCode>General</c:formatCode>
                <c:ptCount val="2"/>
                <c:pt idx="0">
                  <c:v>1440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Online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Tablas_Dinamicas!$D$6:$D$8</c:f>
              <c:numCache>
                <c:formatCode>General</c:formatCode>
                <c:ptCount val="2"/>
                <c:pt idx="0">
                  <c:v>4800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8CB-402C-9BB9-14266FB5D840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Online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Tablas_Dinamicas!$E$6:$E$8</c:f>
              <c:numCache>
                <c:formatCode>General</c:formatCode>
                <c:ptCount val="2"/>
                <c:pt idx="0">
                  <c:v>960</c:v>
                </c:pt>
                <c:pt idx="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8CB-402C-9BB9-14266FB5D840}"/>
            </c:ext>
          </c:extLst>
        </c:ser>
        <c:ser>
          <c:idx val="4"/>
          <c:order val="4"/>
          <c:tx>
            <c:strRef>
              <c:f>Tablas_Dinamicas!$F$3:$F$5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Tablas_Dinamicas!$F$6:$F$8</c:f>
              <c:numCache>
                <c:formatCode>General</c:formatCode>
                <c:ptCount val="2"/>
                <c:pt idx="0">
                  <c:v>1800</c:v>
                </c:pt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8CB-402C-9BB9-14266FB5D840}"/>
            </c:ext>
          </c:extLst>
        </c:ser>
        <c:ser>
          <c:idx val="5"/>
          <c:order val="5"/>
          <c:tx>
            <c:strRef>
              <c:f>Tablas_Dinamicas!$G$3:$G$5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Tablas_Dinamicas!$G$6:$G$8</c:f>
              <c:numCache>
                <c:formatCode>General</c:formatCode>
                <c:ptCount val="2"/>
                <c:pt idx="0">
                  <c:v>360</c:v>
                </c:pt>
                <c:pt idx="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8CB-402C-9BB9-14266FB5D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5-4F35-BD13-CB77EEBD32F9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E5-4F35-BD13-CB77EEBD3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1FF-430B-BA8D-796EB6EA15C8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FF-430B-BA8D-796EB6EA15C8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FF-430B-BA8D-796EB6EA15C8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FF-430B-BA8D-796EB6EA15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F-430B-BA8D-796EB6EA1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240A]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6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747-4289-AB4E-2ED1F7C03E1B}"/>
              </c:ext>
            </c:extLst>
          </c:dPt>
          <c:dLbls>
            <c:numFmt formatCode="[$$-240A]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031773672521701"/>
          <c:y val="0.25294135364227011"/>
          <c:w val="0.46554159095497677"/>
          <c:h val="0.6705559141172927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9B7-89EE-9FB66BE3AE0D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9B7-89EE-9FB66BE3A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604547260376577"/>
          <c:y val="0.45094356955380571"/>
          <c:w val="0.31311503129416512"/>
          <c:h val="0.18750131233595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Ventas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0765916679421023E-3"/>
              <c:y val="-3.59351346641835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CD-48C2-883C-835E3098BCED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CD-48C2-883C-835E3098BCED}"/>
              </c:ext>
            </c:extLst>
          </c:dPt>
          <c:dPt>
            <c:idx val="2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CD-48C2-883C-835E3098BCED}"/>
              </c:ext>
            </c:extLst>
          </c:dPt>
          <c:dLbls>
            <c:dLbl>
              <c:idx val="2"/>
              <c:layout>
                <c:manualLayout>
                  <c:x val="3.0765916679421023E-3"/>
                  <c:y val="-3.593513466418357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CD-48C2-883C-835E3098BC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CD-48C2-883C-835E3098BC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31</xdr:row>
      <xdr:rowOff>185737</xdr:rowOff>
    </xdr:from>
    <xdr:to>
      <xdr:col>3</xdr:col>
      <xdr:colOff>962025</xdr:colOff>
      <xdr:row>46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53</xdr:row>
      <xdr:rowOff>14287</xdr:rowOff>
    </xdr:from>
    <xdr:to>
      <xdr:col>3</xdr:col>
      <xdr:colOff>1076325</xdr:colOff>
      <xdr:row>67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2EC57B1-7D6A-4E1C-6505-0A79C0A78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74</xdr:row>
      <xdr:rowOff>42862</xdr:rowOff>
    </xdr:from>
    <xdr:to>
      <xdr:col>3</xdr:col>
      <xdr:colOff>1028700</xdr:colOff>
      <xdr:row>88</xdr:row>
      <xdr:rowOff>119062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F9FC7F-EE0A-9431-2A65-82D83E44D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371475</xdr:colOff>
      <xdr:row>47</xdr:row>
      <xdr:rowOff>152400</xdr:rowOff>
    </xdr:from>
    <xdr:to>
      <xdr:col>5</xdr:col>
      <xdr:colOff>1143000</xdr:colOff>
      <xdr:row>54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nal 1">
              <a:extLst>
                <a:ext uri="{FF2B5EF4-FFF2-40B4-BE49-F238E27FC236}">
                  <a16:creationId xmlns:a16="http://schemas.microsoft.com/office/drawing/2014/main" id="{B225C605-7044-4C9E-9B25-14A502477A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8300" y="9105900"/>
              <a:ext cx="1828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40</xdr:row>
      <xdr:rowOff>180976</xdr:rowOff>
    </xdr:from>
    <xdr:to>
      <xdr:col>5</xdr:col>
      <xdr:colOff>1152525</xdr:colOff>
      <xdr:row>47</xdr:row>
      <xdr:rowOff>28576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Vendedor">
              <a:extLst>
                <a:ext uri="{FF2B5EF4-FFF2-40B4-BE49-F238E27FC236}">
                  <a16:creationId xmlns:a16="http://schemas.microsoft.com/office/drawing/2014/main" id="{17032B73-C4B4-8344-5858-08046C3E4D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7800976"/>
              <a:ext cx="18288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361950</xdr:colOff>
      <xdr:row>35</xdr:row>
      <xdr:rowOff>28575</xdr:rowOff>
    </xdr:from>
    <xdr:to>
      <xdr:col>5</xdr:col>
      <xdr:colOff>1133475</xdr:colOff>
      <xdr:row>40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Categoria">
              <a:extLst>
                <a:ext uri="{FF2B5EF4-FFF2-40B4-BE49-F238E27FC236}">
                  <a16:creationId xmlns:a16="http://schemas.microsoft.com/office/drawing/2014/main" id="{0A6D243B-6EF4-C35B-956E-903E41B345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38775" y="6696075"/>
              <a:ext cx="1828800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54</xdr:row>
      <xdr:rowOff>180975</xdr:rowOff>
    </xdr:from>
    <xdr:to>
      <xdr:col>5</xdr:col>
      <xdr:colOff>1152525</xdr:colOff>
      <xdr:row>61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Ciudad_Cliente">
              <a:extLst>
                <a:ext uri="{FF2B5EF4-FFF2-40B4-BE49-F238E27FC236}">
                  <a16:creationId xmlns:a16="http://schemas.microsoft.com/office/drawing/2014/main" id="{E226C5D2-CCB7-96B3-F4FB-06C0C7B7B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10467975"/>
              <a:ext cx="18288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9</xdr:row>
      <xdr:rowOff>114301</xdr:rowOff>
    </xdr:from>
    <xdr:to>
      <xdr:col>4</xdr:col>
      <xdr:colOff>9525</xdr:colOff>
      <xdr:row>21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</xdr:col>
      <xdr:colOff>157163</xdr:colOff>
      <xdr:row>9</xdr:row>
      <xdr:rowOff>114300</xdr:rowOff>
    </xdr:from>
    <xdr:to>
      <xdr:col>9</xdr:col>
      <xdr:colOff>185738</xdr:colOff>
      <xdr:row>21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702FAE-3D88-41FE-B0C6-46AC1BD19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333375</xdr:colOff>
      <xdr:row>9</xdr:row>
      <xdr:rowOff>114300</xdr:rowOff>
    </xdr:from>
    <xdr:to>
      <xdr:col>13</xdr:col>
      <xdr:colOff>1047750</xdr:colOff>
      <xdr:row>21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1E01DEB-7B30-4F89-8DCD-6ADF1EA8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381000</xdr:colOff>
      <xdr:row>2</xdr:row>
      <xdr:rowOff>180975</xdr:rowOff>
    </xdr:from>
    <xdr:to>
      <xdr:col>6</xdr:col>
      <xdr:colOff>276225</xdr:colOff>
      <xdr:row>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 1">
              <a:extLst>
                <a:ext uri="{FF2B5EF4-FFF2-40B4-BE49-F238E27FC236}">
                  <a16:creationId xmlns:a16="http://schemas.microsoft.com/office/drawing/2014/main" id="{296AAC00-BE8F-4451-BD8F-A022F9318B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1575" y="638175"/>
              <a:ext cx="1419225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6</xdr:col>
      <xdr:colOff>400051</xdr:colOff>
      <xdr:row>3</xdr:row>
      <xdr:rowOff>0</xdr:rowOff>
    </xdr:from>
    <xdr:to>
      <xdr:col>8</xdr:col>
      <xdr:colOff>209551</xdr:colOff>
      <xdr:row>8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Vendedor 1">
              <a:extLst>
                <a:ext uri="{FF2B5EF4-FFF2-40B4-BE49-F238E27FC236}">
                  <a16:creationId xmlns:a16="http://schemas.microsoft.com/office/drawing/2014/main" id="{5FBCFC5D-3F83-45A0-9244-B0FB8B1805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24626" y="647700"/>
              <a:ext cx="13335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8</xdr:col>
      <xdr:colOff>381000</xdr:colOff>
      <xdr:row>3</xdr:row>
      <xdr:rowOff>1</xdr:rowOff>
    </xdr:from>
    <xdr:to>
      <xdr:col>10</xdr:col>
      <xdr:colOff>276225</xdr:colOff>
      <xdr:row>8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nal 2">
              <a:extLst>
                <a:ext uri="{FF2B5EF4-FFF2-40B4-BE49-F238E27FC236}">
                  <a16:creationId xmlns:a16="http://schemas.microsoft.com/office/drawing/2014/main" id="{34DF194B-712B-47BC-92B9-FC437C6F6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29575" y="647701"/>
              <a:ext cx="1419225" cy="11906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10</xdr:col>
      <xdr:colOff>428625</xdr:colOff>
      <xdr:row>3</xdr:row>
      <xdr:rowOff>0</xdr:rowOff>
    </xdr:from>
    <xdr:to>
      <xdr:col>12</xdr:col>
      <xdr:colOff>581025</xdr:colOff>
      <xdr:row>8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iudad_Cliente 1">
              <a:extLst>
                <a:ext uri="{FF2B5EF4-FFF2-40B4-BE49-F238E27FC236}">
                  <a16:creationId xmlns:a16="http://schemas.microsoft.com/office/drawing/2014/main" id="{F3BBEDB3-4F02-4238-B296-06E4987459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01200" y="647700"/>
              <a:ext cx="16764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>
    <xdr:from>
      <xdr:col>4</xdr:col>
      <xdr:colOff>409575</xdr:colOff>
      <xdr:row>0</xdr:row>
      <xdr:rowOff>142875</xdr:rowOff>
    </xdr:from>
    <xdr:to>
      <xdr:col>9</xdr:col>
      <xdr:colOff>342900</xdr:colOff>
      <xdr:row>2</xdr:row>
      <xdr:rowOff>28575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A6BE4CFB-DF05-889A-FB51-46A48E1A1FE2}"/>
            </a:ext>
          </a:extLst>
        </xdr:cNvPr>
        <xdr:cNvSpPr txBox="1"/>
      </xdr:nvSpPr>
      <xdr:spPr>
        <a:xfrm>
          <a:off x="5010150" y="142875"/>
          <a:ext cx="3743325" cy="342900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>
              <a:solidFill>
                <a:schemeClr val="bg1"/>
              </a:solidFill>
            </a:rPr>
            <a:t>ANÁLISIS DE VENTAS 2024</a:t>
          </a:r>
        </a:p>
      </xdr:txBody>
    </xdr:sp>
    <xdr:clientData/>
  </xdr:twoCellAnchor>
  <xdr:twoCellAnchor editAs="absolute">
    <xdr:from>
      <xdr:col>1</xdr:col>
      <xdr:colOff>95250</xdr:colOff>
      <xdr:row>0</xdr:row>
      <xdr:rowOff>228600</xdr:rowOff>
    </xdr:from>
    <xdr:to>
      <xdr:col>2</xdr:col>
      <xdr:colOff>106500</xdr:colOff>
      <xdr:row>4</xdr:row>
      <xdr:rowOff>38100</xdr:rowOff>
    </xdr:to>
    <xdr:sp macro="" textlink="Analisis!B2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CA0A7D1-C0D8-ADB8-031F-713A39F05EFB}"/>
            </a:ext>
          </a:extLst>
        </xdr:cNvPr>
        <xdr:cNvSpPr/>
      </xdr:nvSpPr>
      <xdr:spPr>
        <a:xfrm>
          <a:off x="857250" y="228600"/>
          <a:ext cx="1440000" cy="67627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Ventas Totales</a:t>
          </a:r>
        </a:p>
        <a:p>
          <a:pPr algn="ctr"/>
          <a:fld id="{72D3EE11-50CD-4772-A4F3-D05AD0417DBD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$ 88,800</a:t>
          </a:fld>
          <a:endParaRPr lang="es-CO" sz="2000"/>
        </a:p>
      </xdr:txBody>
    </xdr:sp>
    <xdr:clientData/>
  </xdr:twoCellAnchor>
  <xdr:twoCellAnchor editAs="absolute">
    <xdr:from>
      <xdr:col>2</xdr:col>
      <xdr:colOff>257175</xdr:colOff>
      <xdr:row>0</xdr:row>
      <xdr:rowOff>228600</xdr:rowOff>
    </xdr:from>
    <xdr:to>
      <xdr:col>3</xdr:col>
      <xdr:colOff>49350</xdr:colOff>
      <xdr:row>4</xdr:row>
      <xdr:rowOff>38100</xdr:rowOff>
    </xdr:to>
    <xdr:sp macro="" textlink="Analisis!B5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8D00C47B-BF94-4EF6-BF11-7F866B04BDBA}"/>
            </a:ext>
          </a:extLst>
        </xdr:cNvPr>
        <xdr:cNvSpPr/>
      </xdr:nvSpPr>
      <xdr:spPr>
        <a:xfrm>
          <a:off x="2447925" y="228600"/>
          <a:ext cx="1440000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Ticket Promedio</a:t>
          </a:r>
        </a:p>
        <a:p>
          <a:pPr algn="ctr"/>
          <a:fld id="{687C1C76-59D1-4155-808D-251692B08C7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$ 14,800</a:t>
          </a:fld>
          <a:endParaRPr lang="es-CO" sz="20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95250</xdr:colOff>
      <xdr:row>5</xdr:row>
      <xdr:rowOff>9525</xdr:rowOff>
    </xdr:from>
    <xdr:to>
      <xdr:col>2</xdr:col>
      <xdr:colOff>106500</xdr:colOff>
      <xdr:row>8</xdr:row>
      <xdr:rowOff>76200</xdr:rowOff>
    </xdr:to>
    <xdr:sp macro="" textlink="Analisis!B3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8C535E7F-4779-4DED-94A7-2F99B3A67B73}"/>
            </a:ext>
          </a:extLst>
        </xdr:cNvPr>
        <xdr:cNvSpPr/>
      </xdr:nvSpPr>
      <xdr:spPr>
        <a:xfrm>
          <a:off x="857250" y="1095375"/>
          <a:ext cx="1440000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Total Comisiones</a:t>
          </a:r>
        </a:p>
        <a:p>
          <a:pPr algn="ctr"/>
          <a:fld id="{BDF1D646-3D49-4949-A173-C7CEB5A0BFEE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5742</a:t>
          </a:fld>
          <a:endParaRPr lang="es-CO" sz="40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2</xdr:col>
      <xdr:colOff>266699</xdr:colOff>
      <xdr:row>5</xdr:row>
      <xdr:rowOff>9525</xdr:rowOff>
    </xdr:from>
    <xdr:to>
      <xdr:col>3</xdr:col>
      <xdr:colOff>57150</xdr:colOff>
      <xdr:row>8</xdr:row>
      <xdr:rowOff>76200</xdr:rowOff>
    </xdr:to>
    <xdr:sp macro="" textlink="Analisis!B6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DE94B26C-8B8A-49DB-839E-40C15D6F65F2}"/>
            </a:ext>
          </a:extLst>
        </xdr:cNvPr>
        <xdr:cNvSpPr/>
      </xdr:nvSpPr>
      <xdr:spPr>
        <a:xfrm>
          <a:off x="2457449" y="1095375"/>
          <a:ext cx="1438276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% Cumpliento Meta</a:t>
          </a:r>
        </a:p>
        <a:p>
          <a:pPr algn="ctr"/>
          <a:fld id="{B8AA38AA-A340-4A43-B405-2ACE4F5FB69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112.4%</a:t>
          </a:fld>
          <a:endParaRPr lang="en-US" sz="11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0.35696</cdr:x>
      <cdr:y>0.44398</cdr:y>
    </cdr:from>
    <cdr:to>
      <cdr:x>0.6481</cdr:x>
      <cdr:y>0.68465</cdr:y>
    </cdr:to>
    <cdr:sp macro="" textlink="Analisis!$B$2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8F5193B5-F250-7534-992D-46F009A0EB90}"/>
            </a:ext>
          </a:extLst>
        </cdr:cNvPr>
        <cdr:cNvSpPr txBox="1"/>
      </cdr:nvSpPr>
      <cdr:spPr>
        <a:xfrm xmlns:a="http://schemas.openxmlformats.org/drawingml/2006/main">
          <a:off x="1343030" y="1019170"/>
          <a:ext cx="1095378" cy="55245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FB06B89B-FED8-4410-AC78-CABE16CD6017}" type="TxLink">
            <a:rPr lang="en-US" sz="1600" b="0" i="0" u="none" strike="noStrike" kern="1200">
              <a:solidFill>
                <a:srgbClr val="000000"/>
              </a:solidFill>
              <a:latin typeface="Calibri"/>
              <a:cs typeface="Calibri"/>
            </a:rPr>
            <a:pPr algn="ctr"/>
            <a:t>$ 88,800</a:t>
          </a:fld>
          <a:endParaRPr lang="en-US" sz="1600" b="0" i="0" u="none" strike="noStrike" kern="1200">
            <a:solidFill>
              <a:srgbClr val="000000"/>
            </a:solidFill>
            <a:latin typeface="Calibri"/>
            <a:cs typeface="Calibri"/>
          </a:endParaRPr>
        </a:p>
        <a:p xmlns:a="http://schemas.openxmlformats.org/drawingml/2006/main">
          <a:pPr algn="ctr"/>
          <a:r>
            <a:rPr lang="en-US" sz="1100" b="0" i="0" u="none" strike="noStrike" kern="1200">
              <a:solidFill>
                <a:srgbClr val="000000"/>
              </a:solidFill>
              <a:latin typeface="Calibri"/>
              <a:cs typeface="Calibri"/>
            </a:rPr>
            <a:t>Ventas Totales</a:t>
          </a:r>
          <a:endParaRPr lang="es-CO" sz="1000" b="1" kern="12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 count="3">
        <s v="Carlos"/>
        <s v="Diana"/>
        <s v="Andrés"/>
      </sharedItems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x v="0"/>
    <x v="0"/>
    <x v="0"/>
    <n v="2"/>
    <s v="Escritorio"/>
    <x v="0"/>
    <n v="900"/>
    <n v="1800"/>
    <s v="Media"/>
    <n v="162"/>
    <s v="Centro"/>
    <n v="15000"/>
  </r>
  <r>
    <d v="2024-01-06T00:00:00"/>
    <s v="Luis Pérez "/>
    <x v="1"/>
    <x v="1"/>
    <x v="0"/>
    <n v="3"/>
    <s v="Laptop"/>
    <x v="1"/>
    <n v="2500"/>
    <n v="7500"/>
    <s v="Alta"/>
    <n v="450"/>
    <s v="Norte"/>
    <n v="12000"/>
  </r>
  <r>
    <d v="2024-01-06T00:00:00"/>
    <s v="Ana Gómez "/>
    <x v="0"/>
    <x v="0"/>
    <x v="1"/>
    <n v="24"/>
    <s v="Laptop"/>
    <x v="1"/>
    <n v="2500"/>
    <n v="60000"/>
    <s v="Alta"/>
    <n v="3600"/>
    <s v="Centro"/>
    <n v="15000"/>
  </r>
  <r>
    <d v="2024-01-07T00:00:00"/>
    <s v="Juan Ruiz "/>
    <x v="2"/>
    <x v="2"/>
    <x v="2"/>
    <n v="8"/>
    <s v="Escritorio"/>
    <x v="0"/>
    <n v="900"/>
    <n v="7200"/>
    <s v="Alta"/>
    <n v="648"/>
    <s v="Sur"/>
    <n v="10000"/>
  </r>
  <r>
    <d v="2024-01-08T00:00:00"/>
    <s v="Laura Díaz "/>
    <x v="0"/>
    <x v="0"/>
    <x v="1"/>
    <n v="16"/>
    <s v="Silla"/>
    <x v="0"/>
    <n v="300"/>
    <n v="4800"/>
    <s v="Alta"/>
    <n v="432"/>
    <s v="Centro"/>
    <n v="15000"/>
  </r>
  <r>
    <d v="2024-01-09T00:00:00"/>
    <s v="Daniel Saenz"/>
    <x v="1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B9D872-E7D2-478B-B3B4-BF0E872D0C93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70:B74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Total_Ventas" fld="9" showDataAs="percentOfTotal" baseField="4" baseItem="0" numFmtId="1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4918-61D5-4DCB-943D-2111D1AA811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48:C52" firstHeaderRow="0" firstDataRow="1" firstDataCol="1"/>
  <pivotFields count="15">
    <pivotField numFmtId="14"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_de_Ventas" fld="9" baseField="2" baseItem="1"/>
    <dataField name="Margen_Ganancia" fld="14" baseField="2" baseItem="1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28:B31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I8" firstHeaderRow="1" firstDataRow="3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1" xr10:uid="{6428AF16-56FC-47F6-8679-261566D1759D}" sourceName="Canal">
  <pivotTables>
    <pivotTable tabId="8" name="TablaDinámica4"/>
    <pivotTable tabId="8" name="TablaDinámica1"/>
    <pivotTable tabId="8" name="TablaDinámica2"/>
    <pivotTable tabId="8" name="TablaDinámica3"/>
  </pivotTables>
  <data>
    <tabular pivotCacheId="1950897236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AF6E10E0-1602-4482-8F8B-BDE40C5B7C35}" sourceName="Vendedor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546E5AE-7991-45F3-A890-1A50B79B4556}" sourceName="Categoria">
  <pivotTables>
    <pivotTable tabId="8" name="TablaDinámica2"/>
    <pivotTable tabId="8" name="TablaDinámica1"/>
    <pivotTable tabId="8" name="TablaDinámica3"/>
    <pivotTable tabId="8" name="TablaDinámica4"/>
  </pivotTables>
  <data>
    <tabular pivotCacheId="1950897236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D6E9CD0B-B8D7-4122-B307-4B1FD792A75C}" sourceName="Ciudad_Cliente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1B94EE67-207A-48ED-B233-03BB10B431B6}" cache="SegmentaciónDeDatos_Canal1" caption="Canal" rowHeight="241300"/>
  <slicer name="Vendedor" xr10:uid="{7FDFF949-029F-46E1-8826-BE1472EC294B}" cache="SegmentaciónDeDatos_Vendedor" caption="Vendedor" rowHeight="241300"/>
  <slicer name="Categoria" xr10:uid="{8AE9F281-67D4-490E-B273-190C976E46A3}" cache="SegmentaciónDeDatos_Categoria" caption="Categoria" rowHeight="241300"/>
  <slicer name="Ciudad_Cliente" xr10:uid="{21E693D7-C638-4413-AA45-1729F6E0D302}" cache="SegmentaciónDeDatos_Ciudad_Cliente" caption="Ciudad_Cliente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2" xr10:uid="{66948C24-1FD8-44FD-8646-6DF55DC92FF8}" cache="SegmentaciónDeDatos_Canal1" caption="Canal" style="SlicerStyleLight3" rowHeight="241300"/>
  <slicer name="Vendedor 1" xr10:uid="{DD2D11A1-A034-4308-8F51-148FE0E2D644}" cache="SegmentaciónDeDatos_Vendedor" caption="Vendedor" style="SlicerStyleLight3" rowHeight="241300"/>
  <slicer name="Categoria 1" xr10:uid="{5A88A70B-DF1A-4EFF-81DE-E7C930A6484A}" cache="SegmentaciónDeDatos_Categoria" caption="Categoria" style="SlicerStyleLight3" rowHeight="241300"/>
  <slicer name="Ciudad_Cliente 1" xr10:uid="{DFD84570-663B-4585-8462-B8623B5639A4}" cache="SegmentaciónDeDatos_Ciudad_Cliente" caption="Ciudad_Cliente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topLeftCell="B1" workbookViewId="0">
      <selection activeCell="C3" sqref="C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 t="shared" ref="K2:K7" si="0"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 t="shared" si="0"/>
        <v>7500</v>
      </c>
      <c r="L3" t="str">
        <f t="shared" ref="L3:L6" si="1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 t="shared" si="0"/>
        <v>60000</v>
      </c>
      <c r="L4" t="str">
        <f t="shared" si="1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 t="shared" si="0"/>
        <v>7200</v>
      </c>
      <c r="L5" t="str">
        <f t="shared" si="1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 t="shared" si="0"/>
        <v>4800</v>
      </c>
      <c r="L6" t="str">
        <f t="shared" si="1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 t="shared" si="0"/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B7" sqref="B7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10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10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6" spans="1:13" x14ac:dyDescent="0.25">
      <c r="A6" s="2" t="s">
        <v>67</v>
      </c>
      <c r="B6" s="11">
        <f>B2/SUM(tbl_Ventas[Meta_Vendedor])</f>
        <v>1.1240506329113924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I74"/>
  <sheetViews>
    <sheetView topLeftCell="A45" workbookViewId="0">
      <selection activeCell="C48" sqref="C48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7.140625" bestFit="1" customWidth="1"/>
    <col min="4" max="4" width="20.7109375" bestFit="1" customWidth="1"/>
    <col min="5" max="5" width="15.85546875" bestFit="1" customWidth="1"/>
    <col min="6" max="6" width="20.7109375" bestFit="1" customWidth="1"/>
    <col min="7" max="7" width="15.85546875" bestFit="1" customWidth="1"/>
    <col min="8" max="8" width="25.7109375" bestFit="1" customWidth="1"/>
    <col min="9" max="9" width="20.85546875" bestFit="1" customWidth="1"/>
  </cols>
  <sheetData>
    <row r="3" spans="1:9" x14ac:dyDescent="0.25">
      <c r="B3" s="6" t="s">
        <v>55</v>
      </c>
    </row>
    <row r="4" spans="1:9" x14ac:dyDescent="0.25">
      <c r="B4" t="s">
        <v>41</v>
      </c>
      <c r="D4" t="s">
        <v>11</v>
      </c>
      <c r="F4" t="s">
        <v>14</v>
      </c>
      <c r="H4" t="s">
        <v>57</v>
      </c>
      <c r="I4" t="s">
        <v>58</v>
      </c>
    </row>
    <row r="5" spans="1:9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  <c r="F5" t="s">
        <v>56</v>
      </c>
      <c r="G5" t="s">
        <v>59</v>
      </c>
    </row>
    <row r="6" spans="1:9" x14ac:dyDescent="0.25">
      <c r="A6" s="7" t="s">
        <v>15</v>
      </c>
      <c r="B6" s="22">
        <v>7200</v>
      </c>
      <c r="C6" s="22">
        <v>1440</v>
      </c>
      <c r="D6" s="22">
        <v>4800</v>
      </c>
      <c r="E6" s="22">
        <v>960</v>
      </c>
      <c r="F6" s="22">
        <v>1800</v>
      </c>
      <c r="G6" s="22">
        <v>360</v>
      </c>
      <c r="H6" s="22">
        <v>13800</v>
      </c>
      <c r="I6" s="22">
        <v>2760</v>
      </c>
    </row>
    <row r="7" spans="1:9" x14ac:dyDescent="0.25">
      <c r="A7" s="7" t="s">
        <v>8</v>
      </c>
      <c r="B7" s="22"/>
      <c r="C7" s="22">
        <v>0</v>
      </c>
      <c r="D7" s="22">
        <v>60000</v>
      </c>
      <c r="E7" s="22">
        <v>12000</v>
      </c>
      <c r="F7" s="22">
        <v>15000</v>
      </c>
      <c r="G7" s="22">
        <v>3000</v>
      </c>
      <c r="H7" s="22">
        <v>75000</v>
      </c>
      <c r="I7" s="22">
        <v>15000</v>
      </c>
    </row>
    <row r="8" spans="1:9" x14ac:dyDescent="0.25">
      <c r="A8" s="7" t="s">
        <v>54</v>
      </c>
      <c r="B8" s="22">
        <v>7200</v>
      </c>
      <c r="C8" s="22">
        <v>1440</v>
      </c>
      <c r="D8" s="22">
        <v>64800</v>
      </c>
      <c r="E8" s="22">
        <v>12960</v>
      </c>
      <c r="F8" s="22">
        <v>16800</v>
      </c>
      <c r="G8" s="22">
        <v>3360</v>
      </c>
      <c r="H8" s="22">
        <v>88800</v>
      </c>
      <c r="I8" s="22">
        <v>17760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 s="22">
        <v>13800</v>
      </c>
    </row>
    <row r="30" spans="1:2" x14ac:dyDescent="0.25">
      <c r="A30" s="7" t="s">
        <v>8</v>
      </c>
      <c r="B30" s="22">
        <v>75000</v>
      </c>
    </row>
    <row r="31" spans="1:2" x14ac:dyDescent="0.25">
      <c r="A31" s="7" t="s">
        <v>54</v>
      </c>
      <c r="B31" s="22">
        <v>88800</v>
      </c>
    </row>
    <row r="48" spans="1:3" x14ac:dyDescent="0.25">
      <c r="A48" s="6" t="s">
        <v>53</v>
      </c>
      <c r="B48" t="s">
        <v>61</v>
      </c>
      <c r="C48" t="s">
        <v>62</v>
      </c>
    </row>
    <row r="49" spans="1:3" x14ac:dyDescent="0.25">
      <c r="A49" s="7" t="s">
        <v>9</v>
      </c>
      <c r="B49" s="22">
        <v>66600</v>
      </c>
      <c r="C49" s="22">
        <v>13320</v>
      </c>
    </row>
    <row r="50" spans="1:3" x14ac:dyDescent="0.25">
      <c r="A50" s="7" t="s">
        <v>12</v>
      </c>
      <c r="B50" s="22">
        <v>15000</v>
      </c>
      <c r="C50" s="22">
        <v>3000</v>
      </c>
    </row>
    <row r="51" spans="1:3" x14ac:dyDescent="0.25">
      <c r="A51" s="7" t="s">
        <v>16</v>
      </c>
      <c r="B51" s="22">
        <v>7200</v>
      </c>
      <c r="C51" s="22">
        <v>1440</v>
      </c>
    </row>
    <row r="52" spans="1:3" x14ac:dyDescent="0.25">
      <c r="A52" s="7" t="s">
        <v>54</v>
      </c>
      <c r="B52" s="22">
        <v>88800</v>
      </c>
      <c r="C52" s="22">
        <v>17760</v>
      </c>
    </row>
    <row r="70" spans="1:2" x14ac:dyDescent="0.25">
      <c r="A70" s="6" t="s">
        <v>53</v>
      </c>
      <c r="B70" t="s">
        <v>56</v>
      </c>
    </row>
    <row r="71" spans="1:2" x14ac:dyDescent="0.25">
      <c r="A71" s="7" t="s">
        <v>11</v>
      </c>
      <c r="B71" s="8">
        <v>0.72972972972972971</v>
      </c>
    </row>
    <row r="72" spans="1:2" x14ac:dyDescent="0.25">
      <c r="A72" s="7" t="s">
        <v>14</v>
      </c>
      <c r="B72" s="8">
        <v>0.1891891891891892</v>
      </c>
    </row>
    <row r="73" spans="1:2" x14ac:dyDescent="0.25">
      <c r="A73" s="7" t="s">
        <v>41</v>
      </c>
      <c r="B73" s="8">
        <v>8.1081081081081086E-2</v>
      </c>
    </row>
    <row r="74" spans="1:2" x14ac:dyDescent="0.25">
      <c r="A74" s="7" t="s">
        <v>54</v>
      </c>
      <c r="B74" s="8">
        <v>1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A1:O25"/>
  <sheetViews>
    <sheetView showGridLines="0" showRowColHeaders="0" tabSelected="1" zoomScaleNormal="100" workbookViewId="0">
      <selection activeCell="I25" sqref="I25"/>
    </sheetView>
  </sheetViews>
  <sheetFormatPr baseColWidth="10" defaultRowHeight="15" x14ac:dyDescent="0.25"/>
  <cols>
    <col min="2" max="2" width="21.42578125" customWidth="1"/>
    <col min="3" max="3" width="24.7109375" customWidth="1"/>
    <col min="7" max="7" width="11.42578125" customWidth="1"/>
    <col min="14" max="14" width="23" customWidth="1"/>
    <col min="15" max="15" width="12.5703125" customWidth="1"/>
  </cols>
  <sheetData>
    <row r="1" spans="1:15" ht="21" x14ac:dyDescent="0.35">
      <c r="A1" s="12"/>
      <c r="B1" s="12"/>
      <c r="C1" s="12"/>
      <c r="D1" s="12"/>
      <c r="E1" s="12"/>
      <c r="F1" s="13"/>
      <c r="G1" s="13"/>
      <c r="H1" s="12"/>
      <c r="I1" s="12"/>
      <c r="J1" s="12"/>
      <c r="K1" s="12"/>
      <c r="L1" s="12"/>
      <c r="M1" s="12"/>
      <c r="N1" s="12"/>
    </row>
    <row r="2" spans="1:15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5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5" ht="17.25" customHeight="1" x14ac:dyDescent="0.25">
      <c r="A4" s="12"/>
      <c r="B4" s="14" t="s">
        <v>64</v>
      </c>
      <c r="C4" s="14" t="s">
        <v>65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5"/>
      <c r="O4" s="9"/>
    </row>
    <row r="5" spans="1:15" ht="17.25" customHeight="1" x14ac:dyDescent="0.25">
      <c r="A5" s="12"/>
      <c r="B5" s="16" t="s">
        <v>63</v>
      </c>
      <c r="C5" s="17" t="s">
        <v>66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5"/>
      <c r="O5" s="9"/>
    </row>
    <row r="6" spans="1:15" ht="16.5" customHeight="1" x14ac:dyDescent="0.25">
      <c r="A6" s="12"/>
      <c r="B6" s="15"/>
      <c r="C6" s="18"/>
      <c r="D6" s="12"/>
      <c r="E6" s="12"/>
      <c r="F6" s="12"/>
      <c r="G6" s="12"/>
      <c r="H6" s="12"/>
      <c r="I6" s="12"/>
      <c r="J6" s="12"/>
      <c r="K6" s="12"/>
      <c r="L6" s="12"/>
      <c r="M6" s="12"/>
      <c r="N6" s="15"/>
      <c r="O6" s="9"/>
    </row>
    <row r="7" spans="1:15" ht="15.75" customHeight="1" x14ac:dyDescent="0.25">
      <c r="A7" s="12"/>
      <c r="B7" s="19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5" ht="15.75" customHeight="1" x14ac:dyDescent="0.25">
      <c r="A8" s="12"/>
      <c r="B8" s="20"/>
      <c r="C8" s="21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5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5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5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5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5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5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5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5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</sheetData>
  <sheetProtection sheet="1" objects="1" scenarios="1" selectLockedCells="1" autoFilter="0" pivotTables="0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2026-02-15T13:56:12Z</dcterms:modified>
</cp:coreProperties>
</file>