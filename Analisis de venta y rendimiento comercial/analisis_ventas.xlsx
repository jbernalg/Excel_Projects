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9203B2B3-5092-4880-A433-472483B806C4}" xr6:coauthVersionLast="47" xr6:coauthVersionMax="47" xr10:uidLastSave="{00000000-0000-0000-0000-000000000000}"/>
  <bookViews>
    <workbookView xWindow="-120" yWindow="-120" windowWidth="20730" windowHeight="11160" firstSheet="4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1">#N/A</definedName>
    <definedName name="SegmentaciónDeDatos_Categoria">#N/A</definedName>
    <definedName name="SegmentaciónDeDatos_Ciudad_Cliente">#N/A</definedName>
    <definedName name="SegmentaciónDeDatos_Vendedor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9" l="1"/>
  <c r="C5" i="9"/>
  <c r="C4" i="9"/>
  <c r="C3" i="9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<sst xmlns="http://schemas.openxmlformats.org/spreadsheetml/2006/main" count="169" uniqueCount="63">
  <si>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</si>
  <si>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</si>
  <si>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</si>
  <si>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</si>
  <si>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</si>
  <si>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</si>
  <si>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</si>
  <si>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</si>
  <si>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</si>
  <si>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</si>
  <si>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</si>
  <si>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</si>
  <si>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</si>
  <si>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</si>
  <si>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</si>
  <si>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</si>
  <si>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</si>
  <si>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</si>
  <si>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</si>
  <si>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</si>
  <si>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</si>
  <si>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</si>
  <si>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</si>
  <si>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</si>
  <si>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</si>
  <si>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</si>
  <si>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</si>
  <si>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</si>
  <si>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</si>
  <si>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</si>
  <si>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</si>
  <si>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</si>
  <si>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</si>
  <si>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</si>
  <si>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</si>
  <si>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</si>
  <si>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</si>
  <si>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</si>
  <si>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</si>
  <si>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</si>
  <si>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</si>
  <si>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</si>
  <si>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</si>
  <si>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</si>
  <si>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</si>
  <si>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</si>
  <si>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</si>
  <si>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</si>
  <si>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</si>
  <si>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</si>
  <si>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</si>
  <si>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</si>
  <si>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</si>
  <si>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</si>
  <si>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</si>
  <si>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</si>
  <si>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</si>
  <si>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</si>
  <si>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</si>
  <si>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</si>
  <si>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</si>
  <si>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KPI</t>
  </si>
  <si>
    <t>% 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</si>
</sst>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Tablas_Dinamicas!$B$6:$B$8</c:f>
              <c:numCache>
                <c:formatCode>General</c:formatCode>
                <c:ptCount val="2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Tablas_Dinamicas!$C$6:$C$8</c:f>
              <c:numCache>
                <c:formatCode>General</c:formatCode>
                <c:ptCount val="2"/>
                <c:pt idx="0">
                  <c:v>1440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Online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Tablas_Dinamicas!$D$6:$D$8</c:f>
              <c:numCache>
                <c:formatCode>General</c:formatCode>
                <c:ptCount val="2"/>
                <c:pt idx="0">
                  <c:v>4800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F8CE-49B5-8EE4-9AE62E748FFA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Online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Tablas_Dinamicas!$E$6:$E$8</c:f>
              <c:numCache>
                <c:formatCode>General</c:formatCode>
                <c:ptCount val="2"/>
                <c:pt idx="0">
                  <c:v>960</c:v>
                </c:pt>
                <c:pt idx="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8CE-49B5-8EE4-9AE62E748FFA}"/>
            </c:ext>
          </c:extLst>
        </c:ser>
        <c:ser>
          <c:idx val="4"/>
          <c:order val="4"/>
          <c:tx>
            <c:strRef>
              <c:f>Tablas_Dinamicas!$F$3:$F$5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Tablas_Dinamicas!$F$6:$F$8</c:f>
              <c:numCache>
                <c:formatCode>General</c:formatCode>
                <c:ptCount val="2"/>
                <c:pt idx="0">
                  <c:v>1800</c:v>
                </c:pt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F8CE-49B5-8EE4-9AE62E748FFA}"/>
            </c:ext>
          </c:extLst>
        </c:ser>
        <c:ser>
          <c:idx val="5"/>
          <c:order val="5"/>
          <c:tx>
            <c:strRef>
              <c:f>Tablas_Dinamicas!$G$3:$G$5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Tablas_Dinamicas!$G$6:$G$8</c:f>
              <c:numCache>
                <c:formatCode>General</c:formatCode>
                <c:ptCount val="2"/>
                <c:pt idx="0">
                  <c:v>360</c:v>
                </c:pt>
                <c:pt idx="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8CE-49B5-8EE4-9AE62E748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Suma de Total_Ventas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Suma de Margen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Suma de Total_Ventas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Suma de Margen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371475</xdr:colOff>
      <xdr:row>47</xdr:row>
      <xdr:rowOff>152400</xdr:rowOff>
    </xdr:from>
    <xdr:to>
      <xdr:col>5</xdr:col>
      <xdr:colOff>1143000</xdr:colOff>
      <xdr:row>54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anal 1">
              <a:extLst>
                <a:ext uri="{FF2B5EF4-FFF2-40B4-BE49-F238E27FC236}">
                  <a16:creationId xmlns:a16="http://schemas.microsoft.com/office/drawing/2014/main" id="{B225C605-7044-4C9E-9B25-14A502477A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5" y="91059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40</xdr:row>
      <xdr:rowOff>180976</xdr:rowOff>
    </xdr:from>
    <xdr:to>
      <xdr:col>5</xdr:col>
      <xdr:colOff>1152525</xdr:colOff>
      <xdr:row>47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Vendedor">
              <a:extLst>
                <a:ext uri="{FF2B5EF4-FFF2-40B4-BE49-F238E27FC236}">
                  <a16:creationId xmlns:a16="http://schemas.microsoft.com/office/drawing/2014/main" id="{17032B73-C4B4-8344-5858-08046C3E4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72100" y="7800976"/>
              <a:ext cx="18288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361950</xdr:colOff>
      <xdr:row>35</xdr:row>
      <xdr:rowOff>28575</xdr:rowOff>
    </xdr:from>
    <xdr:to>
      <xdr:col>5</xdr:col>
      <xdr:colOff>1133475</xdr:colOff>
      <xdr:row>40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Categoria">
              <a:extLst>
                <a:ext uri="{FF2B5EF4-FFF2-40B4-BE49-F238E27FC236}">
                  <a16:creationId xmlns:a16="http://schemas.microsoft.com/office/drawing/2014/main" id="{0A6D243B-6EF4-C35B-956E-903E41B345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3050" y="6696075"/>
              <a:ext cx="1828800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54</xdr:row>
      <xdr:rowOff>180975</xdr:rowOff>
    </xdr:from>
    <xdr:to>
      <xdr:col>5</xdr:col>
      <xdr:colOff>1152525</xdr:colOff>
      <xdr:row>61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Ciudad_Cliente">
              <a:extLst>
                <a:ext uri="{FF2B5EF4-FFF2-40B4-BE49-F238E27FC236}">
                  <a16:creationId xmlns:a16="http://schemas.microsoft.com/office/drawing/2014/main" id="{E226C5D2-CCB7-96B3-F4FB-06C0C7B7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72100" y="10467975"/>
              <a:ext cx="18288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180976</xdr:rowOff>
    </xdr:from>
    <xdr:to>
      <xdr:col>4</xdr:col>
      <xdr:colOff>333375</xdr:colOff>
      <xdr:row>19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504825</xdr:colOff>
      <xdr:row>7</xdr:row>
      <xdr:rowOff>0</xdr:rowOff>
    </xdr:from>
    <xdr:to>
      <xdr:col>9</xdr:col>
      <xdr:colOff>657225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7</xdr:row>
      <xdr:rowOff>0</xdr:rowOff>
    </xdr:from>
    <xdr:to>
      <xdr:col>14</xdr:col>
      <xdr:colOff>590550</xdr:colOff>
      <xdr:row>19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9525</xdr:colOff>
      <xdr:row>0</xdr:row>
      <xdr:rowOff>180975</xdr:rowOff>
    </xdr:from>
    <xdr:to>
      <xdr:col>5</xdr:col>
      <xdr:colOff>666750</xdr:colOff>
      <xdr:row>5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 1">
              <a:extLst>
                <a:ext uri="{FF2B5EF4-FFF2-40B4-BE49-F238E27FC236}">
                  <a16:creationId xmlns:a16="http://schemas.microsoft.com/office/drawing/2014/main" id="{296AAC00-BE8F-4451-BD8F-A022F9318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57650" y="180975"/>
              <a:ext cx="1419225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28576</xdr:colOff>
      <xdr:row>1</xdr:row>
      <xdr:rowOff>0</xdr:rowOff>
    </xdr:from>
    <xdr:to>
      <xdr:col>7</xdr:col>
      <xdr:colOff>600076</xdr:colOff>
      <xdr:row>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Vendedor 1">
              <a:extLst>
                <a:ext uri="{FF2B5EF4-FFF2-40B4-BE49-F238E27FC236}">
                  <a16:creationId xmlns:a16="http://schemas.microsoft.com/office/drawing/2014/main" id="{5FBCFC5D-3F83-45A0-9244-B0FB8B1805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0701" y="190500"/>
              <a:ext cx="13335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9525</xdr:colOff>
      <xdr:row>1</xdr:row>
      <xdr:rowOff>1</xdr:rowOff>
    </xdr:from>
    <xdr:to>
      <xdr:col>9</xdr:col>
      <xdr:colOff>666750</xdr:colOff>
      <xdr:row>6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34DF194B-712B-47BC-92B9-FC437C6F6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190501"/>
              <a:ext cx="1419225" cy="1162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57150</xdr:colOff>
      <xdr:row>1</xdr:row>
      <xdr:rowOff>0</xdr:rowOff>
    </xdr:from>
    <xdr:to>
      <xdr:col>11</xdr:col>
      <xdr:colOff>733425</xdr:colOff>
      <xdr:row>6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Ciudad_Cliente 1">
              <a:extLst>
                <a:ext uri="{FF2B5EF4-FFF2-40B4-BE49-F238E27FC236}">
                  <a16:creationId xmlns:a16="http://schemas.microsoft.com/office/drawing/2014/main" id="{F3BBEDB3-4F02-4238-B296-06E4987459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190500"/>
              <a:ext cx="1438275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Total_Ventas" fld="9" baseField="0" baseItem="0"/>
    <dataField name="Suma de Margen" fld="14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28:B31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I8" firstHeaderRow="1" firstDataRow="3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6428AF16-56FC-47F6-8679-261566D1759D}" sourceName="Canal">
  <pivotTables>
    <pivotTable tabId="8" name="TablaDinámica4"/>
    <pivotTable tabId="8" name="TablaDinámica1"/>
    <pivotTable tabId="8" name="TablaDinámica2"/>
    <pivotTable tabId="8" name="TablaDinámica3"/>
  </pivotTables>
  <data>
    <tabular pivotCacheId="195089723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F6E10E0-1602-4482-8F8B-BDE40C5B7C35}" sourceName="Vendedor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546E5AE-7991-45F3-A890-1A50B79B4556}" sourceName="Categoria">
  <pivotTables>
    <pivotTable tabId="8" name="TablaDinámica2"/>
    <pivotTable tabId="8" name="TablaDinámica1"/>
    <pivotTable tabId="8" name="TablaDinámica3"/>
    <pivotTable tabId="8" name="TablaDinámica4"/>
  </pivotTables>
  <data>
    <tabular pivotCacheId="195089723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D6E9CD0B-B8D7-4122-B307-4B1FD792A75C}" sourceName="Ciudad_Cliente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1B94EE67-207A-48ED-B233-03BB10B431B6}" cache="SegmentaciónDeDatos_Canal1" caption="Canal" rowHeight="241300"/>
  <slicer name="Vendedor" xr10:uid="{7FDFF949-029F-46E1-8826-BE1472EC294B}" cache="SegmentaciónDeDatos_Vendedor" caption="Vendedor" rowHeight="241300"/>
  <slicer name="Categoria" xr10:uid="{8AE9F281-67D4-490E-B273-190C976E46A3}" cache="SegmentaciónDeDatos_Categoria" caption="Categoria" rowHeight="241300"/>
  <slicer name="Ciudad_Cliente" xr10:uid="{21E693D7-C638-4413-AA45-1729F6E0D302}" cache="SegmentaciónDeDatos_Ciudad_Cliente" caption="Ciudad_Cliente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66948C24-1FD8-44FD-8646-6DF55DC92FF8}" cache="SegmentaciónDeDatos_Canal1" caption="Canal" style="SlicerStyleLight3" rowHeight="241300"/>
  <slicer name="Vendedor 1" xr10:uid="{DD2D11A1-A034-4308-8F51-148FE0E2D644}" cache="SegmentaciónDeDatos_Vendedor" caption="Vendedor" style="SlicerStyleLight3" rowHeight="241300"/>
  <slicer name="Categoria 1" xr10:uid="{5A88A70B-DF1A-4EFF-81DE-E7C930A6484A}" cache="SegmentaciónDeDatos_Categoria" caption="Categoria" style="SlicerStyleLight3" rowHeight="241300"/>
  <slicer name="Ciudad_Cliente 1" xr10:uid="{DFD84570-663B-4585-8462-B8623B5639A4}" cache="SegmentaciónDeDatos_Ciudad_Cliente" caption="Ciudad_Cliente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 t="shared" ref="K2:K7" si="0"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 t="shared" si="0"/>
        <v>7500</v>
      </c>
      <c r="L3" t="str">
        <f t="shared" ref="L3:L6" si="1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 t="shared" si="0"/>
        <v>60000</v>
      </c>
      <c r="L4" t="str">
        <f t="shared" si="1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 t="shared" si="0"/>
        <v>7200</v>
      </c>
      <c r="L5" t="str">
        <f t="shared" si="1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 t="shared" si="0"/>
        <v>4800</v>
      </c>
      <c r="L6" t="str">
        <f t="shared" si="1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 t="shared" si="0"/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I74"/>
  <sheetViews>
    <sheetView topLeftCell="A45" workbookViewId="0">
      <selection activeCell="H57" sqref="H57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0.7109375" bestFit="1" customWidth="1"/>
    <col min="7" max="7" width="15.85546875" bestFit="1" customWidth="1"/>
    <col min="8" max="8" width="25.7109375" bestFit="1" customWidth="1"/>
    <col min="9" max="9" width="20.85546875" bestFit="1" customWidth="1"/>
  </cols>
  <sheetData>
    <row r="3" spans="1:9" x14ac:dyDescent="0.25">
      <c r="B3" s="6" t="s">
        <v>55</v>
      </c>
    </row>
    <row r="4" spans="1:9" x14ac:dyDescent="0.25">
      <c r="B4" t="s">
        <v>41</v>
      </c>
      <c r="D4" t="s">
        <v>11</v>
      </c>
      <c r="F4" t="s">
        <v>14</v>
      </c>
      <c r="H4" t="s">
        <v>57</v>
      </c>
      <c r="I4" t="s">
        <v>58</v>
      </c>
    </row>
    <row r="5" spans="1:9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  <c r="F5" t="s">
        <v>56</v>
      </c>
      <c r="G5" t="s">
        <v>59</v>
      </c>
    </row>
    <row r="6" spans="1:9" x14ac:dyDescent="0.25">
      <c r="A6" s="7" t="s">
        <v>15</v>
      </c>
      <c r="B6" s="12">
        <v>7200</v>
      </c>
      <c r="C6" s="12">
        <v>1440</v>
      </c>
      <c r="D6" s="12">
        <v>4800</v>
      </c>
      <c r="E6" s="12">
        <v>960</v>
      </c>
      <c r="F6" s="12">
        <v>1800</v>
      </c>
      <c r="G6" s="12">
        <v>360</v>
      </c>
      <c r="H6" s="12">
        <v>13800</v>
      </c>
      <c r="I6" s="12">
        <v>2760</v>
      </c>
    </row>
    <row r="7" spans="1:9" x14ac:dyDescent="0.25">
      <c r="A7" s="7" t="s">
        <v>8</v>
      </c>
      <c r="B7" s="12"/>
      <c r="C7" s="12">
        <v>0</v>
      </c>
      <c r="D7" s="12">
        <v>60000</v>
      </c>
      <c r="E7" s="12">
        <v>12000</v>
      </c>
      <c r="F7" s="12">
        <v>15000</v>
      </c>
      <c r="G7" s="12">
        <v>3000</v>
      </c>
      <c r="H7" s="12">
        <v>75000</v>
      </c>
      <c r="I7" s="12">
        <v>15000</v>
      </c>
    </row>
    <row r="8" spans="1:9" x14ac:dyDescent="0.25">
      <c r="A8" s="7" t="s">
        <v>54</v>
      </c>
      <c r="B8" s="12">
        <v>7200</v>
      </c>
      <c r="C8" s="12">
        <v>1440</v>
      </c>
      <c r="D8" s="12">
        <v>64800</v>
      </c>
      <c r="E8" s="12">
        <v>12960</v>
      </c>
      <c r="F8" s="12">
        <v>16800</v>
      </c>
      <c r="G8" s="12">
        <v>3360</v>
      </c>
      <c r="H8" s="12">
        <v>88800</v>
      </c>
      <c r="I8" s="12">
        <v>17760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12">
        <v>13800</v>
      </c>
    </row>
    <row r="30" spans="1:2" x14ac:dyDescent="0.25">
      <c r="A30" s="7" t="s">
        <v>8</v>
      </c>
      <c r="B30" s="12">
        <v>75000</v>
      </c>
    </row>
    <row r="31" spans="1:2" x14ac:dyDescent="0.25">
      <c r="A31" s="7" t="s">
        <v>54</v>
      </c>
      <c r="B31" s="12">
        <v>88800</v>
      </c>
    </row>
    <row r="48" spans="1:3" x14ac:dyDescent="0.25">
      <c r="A48" s="6" t="s">
        <v>53</v>
      </c>
      <c r="B48" t="s">
        <v>56</v>
      </c>
      <c r="C48" t="s">
        <v>59</v>
      </c>
    </row>
    <row r="49" spans="1:3" x14ac:dyDescent="0.25">
      <c r="A49" s="7" t="s">
        <v>9</v>
      </c>
      <c r="B49" s="12">
        <v>66600</v>
      </c>
      <c r="C49" s="12">
        <v>13320</v>
      </c>
    </row>
    <row r="50" spans="1:3" x14ac:dyDescent="0.25">
      <c r="A50" s="7" t="s">
        <v>12</v>
      </c>
      <c r="B50" s="12">
        <v>15000</v>
      </c>
      <c r="C50" s="12">
        <v>3000</v>
      </c>
    </row>
    <row r="51" spans="1:3" x14ac:dyDescent="0.25">
      <c r="A51" s="7" t="s">
        <v>16</v>
      </c>
      <c r="B51" s="12">
        <v>7200</v>
      </c>
      <c r="C51" s="12">
        <v>1440</v>
      </c>
    </row>
    <row r="52" spans="1:3" x14ac:dyDescent="0.25">
      <c r="A52" s="7" t="s">
        <v>54</v>
      </c>
      <c r="B52" s="12">
        <v>88800</v>
      </c>
      <c r="C52" s="12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11">
        <v>0.72972972972972971</v>
      </c>
    </row>
    <row r="72" spans="1:2" x14ac:dyDescent="0.25">
      <c r="A72" s="7" t="s">
        <v>14</v>
      </c>
      <c r="B72" s="11">
        <v>0.1891891891891892</v>
      </c>
    </row>
    <row r="73" spans="1:2" x14ac:dyDescent="0.25">
      <c r="A73" s="7" t="s">
        <v>41</v>
      </c>
      <c r="B73" s="11">
        <v>8.1081081081081086E-2</v>
      </c>
    </row>
    <row r="74" spans="1:2" x14ac:dyDescent="0.25">
      <c r="A74" s="7" t="s">
        <v>54</v>
      </c>
      <c r="B74" s="11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2:C6"/>
  <sheetViews>
    <sheetView tabSelected="1" topLeftCell="B1" workbookViewId="0">
      <selection activeCell="H21" sqref="H21"/>
    </sheetView>
  </sheetViews>
  <sheetFormatPr baseColWidth="10" defaultRowHeight="15" x14ac:dyDescent="0.25"/>
  <cols>
    <col min="2" max="2" width="21.42578125" customWidth="1"/>
    <col min="3" max="3" width="16.42578125" bestFit="1" customWidth="1"/>
  </cols>
  <sheetData>
    <row r="2" spans="2:3" ht="18.75" x14ac:dyDescent="0.25">
      <c r="B2" s="8" t="s">
        <v>61</v>
      </c>
      <c r="C2" s="8" t="s">
        <v>43</v>
      </c>
    </row>
    <row r="3" spans="2:3" ht="17.25" customHeight="1" x14ac:dyDescent="0.25">
      <c r="B3" s="9" t="s">
        <v>44</v>
      </c>
      <c r="C3" s="10">
        <f>Analisis!B2</f>
        <v>88800</v>
      </c>
    </row>
    <row r="4" spans="2:3" ht="16.5" customHeight="1" x14ac:dyDescent="0.25">
      <c r="B4" s="9" t="s">
        <v>45</v>
      </c>
      <c r="C4" s="10">
        <f>SUM(tbl_Ventas[Comision])</f>
        <v>5742</v>
      </c>
    </row>
    <row r="5" spans="2:3" ht="15.75" customHeight="1" x14ac:dyDescent="0.25">
      <c r="B5" s="9" t="s">
        <v>47</v>
      </c>
      <c r="C5" s="10">
        <f>AVERAGE(tbl_Ventas[Total_Ventas])</f>
        <v>14800</v>
      </c>
    </row>
    <row r="6" spans="2:3" ht="15.75" customHeight="1" x14ac:dyDescent="0.25">
      <c r="B6" s="9" t="s">
        <v>62</v>
      </c>
      <c r="C6" s="10">
        <f>C3/SUM(tbl_Ventas[Meta_Vendedor])</f>
        <v>1.1240506329113924</v>
      </c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2026-02-13T19:06:05Z</dcterms:modified>
</cp:coreProperties>
</file>